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Universidad Nacional del Altiplano Puno\EP Administracion\IX Semestre\GESTIÓN COMERCIAL\"/>
    </mc:Choice>
  </mc:AlternateContent>
  <xr:revisionPtr revIDLastSave="0" documentId="13_ncr:1_{DCE216D2-F8E0-421D-A4D0-A13977F83B52}" xr6:coauthVersionLast="47" xr6:coauthVersionMax="47" xr10:uidLastSave="{00000000-0000-0000-0000-000000000000}"/>
  <bookViews>
    <workbookView xWindow="14854" yWindow="4260" windowWidth="10175" windowHeight="9249" tabRatio="500" firstSheet="2" activeTab="3" xr2:uid="{00000000-000D-0000-FFFF-FFFF00000000}"/>
    <workbookView xWindow="377" yWindow="377" windowWidth="12292" windowHeight="12549" activeTab="2" xr2:uid="{3888CCA3-DD02-414B-BF6F-E1576E4018FC}"/>
  </bookViews>
  <sheets>
    <sheet name="CARTULA" sheetId="4" r:id="rId1"/>
    <sheet name="FODA" sheetId="1" r:id="rId2"/>
    <sheet name="ESTRATEGICA" sheetId="2" r:id="rId3"/>
    <sheet name="OBJETIVOS ESTRTEGICOS" sheetId="3" r:id="rId4"/>
  </sheets>
  <definedNames>
    <definedName name="_xlnm.Print_Titles" localSheetId="2">ESTRATEGICA!$1:$4</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CD44" i="2" l="1"/>
  <c r="CC44" i="2"/>
  <c r="CD41" i="2"/>
  <c r="CC41" i="2"/>
  <c r="CD38" i="2"/>
  <c r="CC38" i="2"/>
  <c r="CD35" i="2"/>
  <c r="CC35" i="2"/>
  <c r="CD32" i="2"/>
  <c r="CC32" i="2"/>
  <c r="CD29" i="2"/>
  <c r="CC29" i="2"/>
  <c r="CD26" i="2"/>
  <c r="CC26" i="2"/>
  <c r="CD23" i="2"/>
  <c r="CC23" i="2"/>
  <c r="CD20" i="2"/>
  <c r="CC20" i="2"/>
  <c r="CD17" i="2"/>
  <c r="CC17" i="2"/>
  <c r="CD14" i="2"/>
  <c r="CC14" i="2"/>
  <c r="CD11" i="2"/>
  <c r="CC11" i="2"/>
  <c r="CD8" i="2"/>
  <c r="CD5" i="2"/>
  <c r="CC5" i="2"/>
  <c r="CC47" i="2" l="1"/>
  <c r="CD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C5" authorId="0" shapeId="0" xr:uid="{00000000-0006-0000-0100-000001000000}">
      <text>
        <r>
          <rPr>
            <sz val="10"/>
            <rFont val="Arial"/>
            <family val="2"/>
          </rPr>
          <t>DETALLE DEL PRESUPUESTO
(cantidades 2026/27/28/29/30 x costo unitario)
• Muestras de café para cafeterías, tiendas gourmet y hoteles: 60/30/30/30/30 bolsa x S/ 15
• Exhibidor de mostrador con marca para punto de venta: 8/2/2/2/2 unidad x S/ 250
• Movilidad local para visitas y reposición (Juliaca – Puno ciudad): 48/48/48/48/48 viaje x S/ 25
• Catálogo y ficha técnica (diseño + impresión): 1/0/1/0/1 global x S/ 800
2027-2030 con inflación supuesta de 2% anual.
Costos referenciales: cotizar antes de ejecutar.</t>
        </r>
      </text>
    </comment>
    <comment ref="CC8" authorId="0" shapeId="0" xr:uid="{00000000-0006-0000-0100-000002000000}">
      <text>
        <r>
          <rPr>
            <sz val="10"/>
            <rFont val="Arial"/>
            <family val="2"/>
          </rPr>
          <t>DETALLE DEL PRESUPUESTO
(cantidades 2026/27/28/29/30 x costo unitario)
• Viaje de prospección y negociación a Arequipa (pasajes + 2 días de viáticos): 0/3/2/2/2 viaje x S/ 450
• Muestras de café para el distribuidor de Arequipa: 0/40/20/20/20 bolsa x S/ 15
• Flete de mercadería a Arequipa: 0/8/12/12/12 mes x S/ 250
• Legalización notarial del acuerdo de distribución: 0/1/1/1/1 acuerdo x S/ 50
2027-2030 con inflación supuesta de 2% anual.
Costos referenciales: cotizar antes de ejecutar.</t>
        </r>
      </text>
    </comment>
    <comment ref="CC11" authorId="0" shapeId="0" xr:uid="{00000000-0006-0000-0100-000003000000}">
      <text>
        <r>
          <rPr>
            <sz val="10"/>
            <rFont val="Arial"/>
            <family val="2"/>
          </rPr>
          <t>DETALLE DEL PRESUPUESTO
(cantidades 2026/27/28/29/30 x costo unitario)
• Facilitador barista / catador por taller: 6/4/4/4/4 taller x S/ 400
• Insumos por taller (café, filtros, agua, vasos compostables): 6/4/4/4/4 taller x S/ 250
• Alquiler de ambiente y mobiliario por taller: 6/4/4/4/4 taller x S/ 300
2027-2030 con inflación supuesta de 2% anual.
Costos referenciales: cotizar antes de ejecutar.</t>
        </r>
      </text>
    </comment>
    <comment ref="CC14" authorId="0" shapeId="0" xr:uid="{00000000-0006-0000-0100-000004000000}">
      <text>
        <r>
          <rPr>
            <sz val="10"/>
            <rFont val="Arial"/>
            <family val="2"/>
          </rPr>
          <t>DETALLE DEL PRESUPUESTO
(cantidades 2026/27/28/29/30 x costo unitario)
• Producción de pieza de contenido educativo (video corto / infografía): 24/24/24/24/24 pieza x S/ 120
2027-2030 con inflación supuesta de 2% anual.
Costos referenciales: cotizar antes de ejecutar.</t>
        </r>
      </text>
    </comment>
    <comment ref="CC17" authorId="0" shapeId="0" xr:uid="{00000000-0006-0000-0100-000005000000}">
      <text>
        <r>
          <rPr>
            <sz val="10"/>
            <rFont val="Arial"/>
            <family val="2"/>
          </rPr>
          <t>DETALLE DEL PRESUPUESTO
(cantidades 2026/27/28/29/30 x costo unitario)
• Experiencia cafetera (montaje, insumos y personal): 3/2/2/2/2 evento x S/ 1800
• Tarjetas y formularios de registro de la comunidad: 1800/300/300/300/300 registro x S/ 0.5
2027-2030 con inflación supuesta de 2% anual.
Costos referenciales: cotizar antes de ejecutar.</t>
        </r>
      </text>
    </comment>
    <comment ref="CC20" authorId="0" shapeId="0" xr:uid="{00000000-0006-0000-0100-000006000000}">
      <text>
        <r>
          <rPr>
            <sz val="10"/>
            <rFont val="Arial"/>
            <family val="2"/>
          </rPr>
          <t>DETALLE DEL PRESUPUESTO
(cantidades 2026/27/28/29/30 x costo unitario)
• Bolsa kraft con asa impresa con logo: 3000/3000/3000/3000/3000 bolsa x S/ 1.2
2027-2030 con inflación supuesta de 2% anual.
Costos referenciales: cotizar antes de ejecutar.</t>
        </r>
      </text>
    </comment>
    <comment ref="CC23" authorId="0" shapeId="0" xr:uid="{00000000-0006-0000-0100-000007000000}">
      <text>
        <r>
          <rPr>
            <sz val="10"/>
            <rFont val="Arial"/>
            <family val="2"/>
          </rPr>
          <t>DETALLE DEL PRESUPUESTO
(cantidades 2026/27/28/29/30 x costo unitario)
• Estuche secundario de cartón kraft reciclable para packs: 1500/3000/3000/3000/3000 unidad x S/ 2.5
• Diseño gráfico de empaques y materiales: 1/0/1/0/0 global x S/ 1500
2027-2030 con inflación supuesta de 2% anual.
Costos referenciales: cotizar antes de ejecutar.</t>
        </r>
      </text>
    </comment>
    <comment ref="CC26" authorId="0" shapeId="0" xr:uid="{00000000-0006-0000-0100-000008000000}">
      <text>
        <r>
          <rPr>
            <sz val="10"/>
            <rFont val="Arial"/>
            <family val="2"/>
          </rPr>
          <t>DETALLE DEL PRESUPUESTO
(cantidades 2026/27/28/29/30 x costo unitario)
• Material promocional en papel reciclado (volantes / tarjetas): 3/4/4/4/4 millar x S/ 180
• Bolsa de tela reutilizable (tocuyo) con logo: 300/300/300/300/300 unidad x S/ 6.5
2027-2030 con inflación supuesta de 2% anual.
Costos referenciales: cotizar antes de ejecutar.</t>
        </r>
      </text>
    </comment>
    <comment ref="CC29" authorId="0" shapeId="0" xr:uid="{00000000-0006-0000-0100-000009000000}">
      <text>
        <r>
          <rPr>
            <sz val="10"/>
            <rFont val="Arial"/>
            <family val="2"/>
          </rPr>
          <t>DETALLE DEL PRESUPUESTO
(cantidades 2026/27/28/29/30 x costo unitario)
• Viaje de campo a Sandia / Carabaya (2 personas, pasajes + 4 días de viáticos): 3/2/1/1/1 viaje x S/ 1200
• Insumos para análisis de muestras (servicio propio): 16/16/12/12/12 muestra x S/ 40
• Legalización de acuerdos comerciales con familias: 8/4/12/12/12 acuerdo x S/ 50
2027-2030 con inflación supuesta de 2% anual.
Costos referenciales: cotizar antes de ejecutar.</t>
        </r>
      </text>
    </comment>
    <comment ref="CC32" authorId="0" shapeId="0" xr:uid="{00000000-0006-0000-0100-00000A000000}">
      <text>
        <r>
          <rPr>
            <sz val="10"/>
            <rFont val="Arial"/>
            <family val="2"/>
          </rPr>
          <t>DETALLE DEL PRESUPUESTO
(cantidades 2026/27/28/29/30 x costo unitario)
• Etiquetas con código QR de trazabilidad: 2/3/3/3/3 millar x S/ 250
• Formato de fichas de registro de finca y lote: 1/0/0/0/0 global x S/ 200
2027-2030 con inflación supuesta de 2% anual.
Costos referenciales: cotizar antes de ejecutar.</t>
        </r>
      </text>
    </comment>
    <comment ref="CC35" authorId="0" shapeId="0" xr:uid="{00000000-0006-0000-0100-00000B000000}">
      <text>
        <r>
          <rPr>
            <sz val="10"/>
            <rFont val="Arial"/>
            <family val="2"/>
          </rPr>
          <t>DETALLE DEL PRESUPUESTO
(cantidades 2026/27/28/29/30 x costo unitario)
• Jornada de capacitación en prácticas agrícolas (técnico, materiales, refrigerio): 1/2/1/1/1 jornada x S/ 1500
2027-2030 con inflación supuesta de 2% anual.
Costos referenciales: cotizar antes de ejecutar.</t>
        </r>
      </text>
    </comment>
    <comment ref="CC38" authorId="0" shapeId="0" xr:uid="{00000000-0006-0000-0100-00000C000000}">
      <text>
        <r>
          <rPr>
            <sz val="10"/>
            <rFont val="Arial"/>
            <family val="2"/>
          </rPr>
          <t>DETALLE DEL PRESUPUESTO
(cantidades 2026/27/28/29/30 x costo unitario)
• Pauta publicitaria en redes sociales: 11/12/12/12/12 mes x S/ 800
• Formulario / landing de captación en la web: 1/0/0/0/0 global x S/ 1500
2027-2030 con inflación supuesta de 2% anual.
Costos referenciales: cotizar antes de ejecutar.</t>
        </r>
      </text>
    </comment>
    <comment ref="CC41" authorId="0" shapeId="0" xr:uid="{00000000-0006-0000-0100-00000D000000}">
      <text>
        <r>
          <rPr>
            <sz val="10"/>
            <rFont val="Arial"/>
            <family val="2"/>
          </rPr>
          <t>DETALLE DEL PRESUPUESTO
(cantidades 2026/27/28/29/30 x costo unitario)
• Community manager (servicio externo, medio tiempo): 12/12/12/12/12 mes x S/ 1000
• Sesión fotográfica de productos: 1/1/1/1/1 sesión x S/ 800
2027-2030 con inflación supuesta de 2% anual.
Costos referenciales: cotizar antes de ejecutar.</t>
        </r>
      </text>
    </comment>
    <comment ref="CC44" authorId="0" shapeId="0" xr:uid="{00000000-0006-0000-0100-00000E000000}">
      <text>
        <r>
          <rPr>
            <sz val="10"/>
            <rFont val="Arial"/>
            <family val="2"/>
          </rPr>
          <t>DETALLE DEL PRESUPUESTO
(cantidades 2026/27/28/29/30 x costo unitario)
• Herramienta de gestión de contactos / mailing (plan básico): 11/12/12/12/12 mes x S/ 60
2027-2030 con inflación supuesta de 2% anual.
Costos referenciales: cotizar antes de ejecutar.</t>
        </r>
      </text>
    </comment>
  </commentList>
</comments>
</file>

<file path=xl/sharedStrings.xml><?xml version="1.0" encoding="utf-8"?>
<sst xmlns="http://schemas.openxmlformats.org/spreadsheetml/2006/main" count="459" uniqueCount="337">
  <si>
    <t>MATRIZ FODA  ·  COTECA S.R.L. – MUNDO DEL CAFÉ  ·  JULIACA, PUNO  ·  2026 – 2030</t>
  </si>
  <si>
    <t>MATRIZ
FODA</t>
  </si>
  <si>
    <t>FORTALEZAS</t>
  </si>
  <si>
    <t>DEBILIDADES</t>
  </si>
  <si>
    <t>F1: Café orgánico con certificación de MAYACERT y sello USDA Organic [F1].
F2: Origen Esquilaya (Ayapata, Carabaya) con premios AVPA París y un lote de 87.71 puntos en Cup of Excellence 2023 [F4, F5].
F3: Servicios propios de pilado y clasificación, tostado, análisis de muestras y empacado; importó una tostadora [F2, F6].
F4: Canales mixtos: tienda web con envíos a todo el Perú, redes, venta por mayor y sedes en Puno y Lima [F1, F3].
F5: Empresa formal desde 2019: RUC activo y habido, importador/exportador e inscrita en el RNP [F7, F8].</t>
  </si>
  <si>
    <t>D1: Marca joven (2019) frente a marcas puneñas con larga trayectoria, como Café Tunki de CECOVASA [F7, A3].
D2: Web con datos inconsistentes: teléfono de prueba (999999999), página titulada 'Elementor #6369' y enlaces a redes sin destino [F1, F2].
D3: El pago por QR en la web no admite más de S/ 500 por día, lo que limita las compras por mayor en línea [F1].
D4: Presencia física limitada a Puno y Lima; aún sin cobertura en otras regiones del sur, como Arequipa y Cusco [F1].</t>
  </si>
  <si>
    <t>OPORTUNIDADES</t>
  </si>
  <si>
    <t>ESTRATEGIAS  FO   (usar fortalezas para aprovechar oportunidades)</t>
  </si>
  <si>
    <t>ESTRATEGIAS  DO   (superar debilidades aprovechando oportunidades)</t>
  </si>
  <si>
    <t>O1: El consumo interno sube: 1.6 kg por persona, con meta de 2 kg al 2030; el café se asocia a lugares fríos como Puno [O1, O3].
O2: Las cafeterías de especialidad crecieron 11.5% entre 2019 y 2024 (~321 locales): canal B2B potencial [O2].
O3: Apoyo de Devida a la caficultura de Sandia (1,000 ha, más de 1,000 familias) [O4, O5].
O4: Prestigio del café puneño (medallas AVPA París 2026) y liderazgo del Perú en café orgánico [O6, O7].
O5: Ferias y festivales de café con alta convocatoria (Cafesazo 2026 con 154 stands; Semana del Café en Puno) [O8, O9].</t>
  </si>
  <si>
    <t>FO1 (F1, F2, F4 – O1, O2): consolidar el mercado de la región Puno colocando el café en cafeterías, tiendas gourmet y hoteles de Juliaca y Puno ciudad, y recién después ingresar a Arequipa con un distribuidor local.  → OE1
FO2 (F2, F3 – O1, O5): formar una comunidad de consumidores con talleres de cata, contenido educativo y experiencias cafeteras.  → OE2</t>
  </si>
  <si>
    <t>DO1 (D2, D3 – O1, O2): fortalecer el canal digital (web y redes) y generar leads con marketing digital para captar nuevos clientes.  → OE5
DO2 (D4 – O2): usar la red de cafeterías de especialidad del sur para crecer sin abrir locales propios.</t>
  </si>
  <si>
    <t>AMENAZAS</t>
  </si>
  <si>
    <t>ESTRATEGIAS  FA   (usar fortalezas para reducir amenazas)</t>
  </si>
  <si>
    <t>ESTRATEGIAS  DA   (reducir debilidades y evitar amenazas)</t>
  </si>
  <si>
    <t>A1: Precios internacionales volátiles: el arábica tocó máximos desde 1977, lo que encarece la materia prima [A1].
A2: Cambio climático: al 2050 la mitad de las zonas cafetaleras dejaría de ser apta y aumentarían las plagas [A2].
A3: La roya y el reemplazo por hoja de coca bajaron la producción de CECOVASA de 120 mil (2011) a 10 mil quintales (2018) [A3].
A4: Competencia de marcas regionales premiadas (Tunki / CECOVASA) y de cafeterías con escuela de barismo en Juliaca [A3, A6].
A5: Vías riesgosas hacia Sandia (unas 10 h desde Puno) y minería informal en el río Tambopata [A4, A5].</t>
  </si>
  <si>
    <t>FA1 (F1, F3 – A1, A2, A3): cerrar acuerdos comerciales directos con familias de Sandia y otras zonas, con análisis de muestras propio y trazabilidad por lote, para asegurar el abastecimiento.  → OE4
FA2 (F1 – A2): promover prácticas agrícolas responsables en las familias aliadas.  → OE4</t>
  </si>
  <si>
    <t>DA1 (D1 – A4): diferenciar la marca frente a la competencia regional con una identidad ecológica visible en bolsas, empaques secundarios y material promocional.  → OE3</t>
  </si>
  <si>
    <t>ESTRATEGIA INTEGRADA</t>
  </si>
  <si>
    <t>Consolidar Mundo del Café como marca referente en café orgánico y de especialidad: afianzar primero el mercado de la región Puno y luego Arequipa (FO1), formar una comunidad de consumidores (FO2), asegurar un abastecimiento directo y trazable desde Sandia y otras zonas productoras (FA1, FA2), diferenciarse con materiales sostenibles (DA1) y fortalecer el canal digital para generar leads (DO1).</t>
  </si>
  <si>
    <t>FUENTES CONSULTADAS  ·  setiembre de 2026</t>
  </si>
  <si>
    <t>Código y medio</t>
  </si>
  <si>
    <t>Dato utilizado</t>
  </si>
  <si>
    <t>Enlace</t>
  </si>
  <si>
    <t>EMPRESA</t>
  </si>
  <si>
    <t>[F1]  mundodelcafe.com.pe</t>
  </si>
  <si>
    <t>Mundo del Café – Página web oficial (inicio): certificación MAYACERT/USDA, sedes, canales, pack a S/ 60, límite QR S/ 500</t>
  </si>
  <si>
    <t>https://mundodelcafe.com.pe/</t>
  </si>
  <si>
    <t>[F2]  mundodelcafe.com.pe</t>
  </si>
  <si>
    <t>Mundo del Café – Sobre nosotros (misión, visión, origen Esquilaya)</t>
  </si>
  <si>
    <t>https://mundodelcafe.com.pe/index.php/elementor-6369/</t>
  </si>
  <si>
    <t>[F3]  mundodelcafe.com.pe</t>
  </si>
  <si>
    <t>Mundo del Café – Ventas por mayor</t>
  </si>
  <si>
    <t>https://mundodelcafe.com.pe/index.php/venta-por-mayor/</t>
  </si>
  <si>
    <t>[F4]  Andina</t>
  </si>
  <si>
    <t>Andina – Adán Rodrigo, productor de Esquilaya premiado en Francia, promociona la marca Mundo del Café</t>
  </si>
  <si>
    <t>https://andina.pe/agencia/noticia-conoce-a-adan-rodrigo-productor-cafe-organico-puno-galardonado-francia-822210.aspx</t>
  </si>
  <si>
    <t>[F5]  Cup of Excellence</t>
  </si>
  <si>
    <t>Cup of Excellence – Finca Alto Mirador (Adán Rodrigo Quispe), puesto 26, 87.71 puntos (2023)</t>
  </si>
  <si>
    <t>https://farmdirectory.cupofexcellence.org/listing/26-alto-mirador-peru-2023</t>
  </si>
  <si>
    <t>[F6]  Veritrade</t>
  </si>
  <si>
    <t>Veritrade – Importaciones de COTECA S.R.L. (máquina tostadora de café)</t>
  </si>
  <si>
    <t>https://www.veritradecorp.com/es/peru/importaciones-y-exportaciones-coteca-sociedad-comercial-de-responsabil/ruc-20605537147</t>
  </si>
  <si>
    <t>[F7]  DatosPeru.org</t>
  </si>
  <si>
    <t>Datos Perú – Ficha RUC 20605537147 (activo, habido, importador/exportador, inicio 2019)</t>
  </si>
  <si>
    <t>https://www.datosperu.org/empresa-coteca-sociedad-comercial-de-rsponsabilidad-limitada-coteca-srl-20605537147.php</t>
  </si>
  <si>
    <t>[F8]  Ubicania</t>
  </si>
  <si>
    <t>Ubicania – COTECA S.R.L. inscrita en el Registro Nacional de Proveedores</t>
  </si>
  <si>
    <t>https://ubicania.com/empresas/coteca-sociedad-comercial-de-rsponsabilidad-limitada-coteca-s-r-l_id_D068CD5055E50F84</t>
  </si>
  <si>
    <t>[F9]  Facebook</t>
  </si>
  <si>
    <t>Facebook – Mundo del Café (Juliaca)</t>
  </si>
  <si>
    <t>https://www.facebook.com/p/Mundo-del-Caf%C3%A9-100094262035945/</t>
  </si>
  <si>
    <t>[O1]  Junta Nacional del Café</t>
  </si>
  <si>
    <t>JNC – Consumo de 1.6 kg por persona y meta de 2 kg al 2030</t>
  </si>
  <si>
    <t>https://juntadelcafe.org.pe/jnc-entre-el-70-y-75-del-area-de-cafe-en-peru-requieren-renovarse-porque-tienen-ciclos-productivos-mayores-a-los-15-anos/</t>
  </si>
  <si>
    <t>[O2]  America Retail</t>
  </si>
  <si>
    <t>Crecimiento de cafeterías de especialidad en Perú (+11.5% entre 2019 y 2024)</t>
  </si>
  <si>
    <t>https://americaretail-malls.com/paises/peru/el-crecimiento-imparable-de-las-cafeterias-de-especialidad-en-peru-estrategias-y-desafios/</t>
  </si>
  <si>
    <t>[O3]  Revista Economía</t>
  </si>
  <si>
    <t>Consumo de café asociado a lugares fríos (U. del Pacífico)</t>
  </si>
  <si>
    <t>https://www.revistaeconomia.com/la-meta-es-incrementar-el-consumo-por-persona-a-1-4-kilos-de-cafe-al-2025/</t>
  </si>
  <si>
    <t>[O4]  Agraria.pe</t>
  </si>
  <si>
    <t>Devida impulsa el café en Sandia: 1,000 ha y más de 1,000 familias</t>
  </si>
  <si>
    <t>https://agraria.pe/noticias/puno-impulsaran-produccion-de-cafe-en-sandia-35513</t>
  </si>
  <si>
    <t>[O5]  Andina</t>
  </si>
  <si>
    <t>Inversión de S/ 4.6 millones para café orgánico en Sandia</t>
  </si>
  <si>
    <t>https://andina.pe/agencia/noticia-puno-invertiran-s-46-millones-para-impulsar-produccion-cafe-organico-sandia-869080.aspx</t>
  </si>
  <si>
    <t>[O6]  gob.pe – Tu Empresa</t>
  </si>
  <si>
    <t>Cooperativa San Jorge (Sandia) gana dos medallas en AVPA París 2026</t>
  </si>
  <si>
    <t>https://www.gob.pe/institucion/tuempresa/noticias/1426489-mype-de-puno-promovidas-por-produce-destacan-entre-los-mejores-cafes-del-mundo</t>
  </si>
  <si>
    <t>[O7]  Infobae</t>
  </si>
  <si>
    <t>Perú, primer productor mundial de café orgánico</t>
  </si>
  <si>
    <t>https://www.infobae.com/peru/2025/07/19/el-cafe-peruano-continua-conquistando-mercados-globales-y-abre-nuevas-oportunidades-para-las-familias/</t>
  </si>
  <si>
    <t>[O8]  Diario Correo</t>
  </si>
  <si>
    <t>Festival Cafesazo Peruano 2026: 154 stands</t>
  </si>
  <si>
    <t>https://diariocorreo.pe/edicion/lima/festival-cafesazo-peruano-2026-cafe-gratis-y-mas-de-150-expositores-en-lima-noticia/</t>
  </si>
  <si>
    <t>[O9]  Andina</t>
  </si>
  <si>
    <t>Semana del Café y Cacao en la ciudad de Puno</t>
  </si>
  <si>
    <t>https://andina.pe/ingles/noticia-caficultores-puno-ofreceran-sus-mejores-variedades-la-semana-cafe-y-cacao-758853.aspx</t>
  </si>
  <si>
    <t>[A1]  El Peruano</t>
  </si>
  <si>
    <t>Midagri: precios del arábica en máximos desde 1977</t>
  </si>
  <si>
    <t>https://elperuano.pe/noticia/287684-midagri-exportaciones-de-cafe-batieron-record-en-ventas-durante-el-2025</t>
  </si>
  <si>
    <t>[A2]  Junta Nacional del Café</t>
  </si>
  <si>
    <t>WCS en Sandia: al 2050 la mitad de las zonas cafetaleras no serían aptas</t>
  </si>
  <si>
    <t>https://juntadelcafe.org.pe/la-iniciativa-en-puno-que-ha-permitido-que-68-familias-produzcan-cafe-conservando-622-hectareas-de-bosque-de-la-amazonia/</t>
  </si>
  <si>
    <t>[A3]  Cafelab</t>
  </si>
  <si>
    <t>CECOVASA / Café Tunki: 5,000 familias; caída productiva por roya y coca</t>
  </si>
  <si>
    <t>https://cafelab.pe/la-apuesta-de-cecovasa-cafe-tunki-nuevas-marcas-puno/</t>
  </si>
  <si>
    <t>[A4]  La República</t>
  </si>
  <si>
    <t>Productores de Sandia: vías riesgosas, unas 10 horas desde Puno</t>
  </si>
  <si>
    <t>https://larepublica.pe/sociedad/2023/07/09/puno-el-mejor-cafe-del-mundo-se-produce-en-lo-mas-profundo-de-la-selva-punena-lrsd-824967</t>
  </si>
  <si>
    <t>[A5]  RPP</t>
  </si>
  <si>
    <t>Minería informal en el río Tambopata como riesgo para el café orgánico</t>
  </si>
  <si>
    <t>https://rpp.pe/peru/actualidad/puno-el-mejor-cafe-del-peru-se-cultiva-en-sandia-noticia-414030</t>
  </si>
  <si>
    <t>[A6]  TikTok</t>
  </si>
  <si>
    <t>Cafeterías en Juliaca con clases de barismo (Atteso)</t>
  </si>
  <si>
    <t>https://www.tiktok.com/discover/cafeter%C3%ADa-juliaca</t>
  </si>
  <si>
    <t>REFERENCIA SALARIAL (usada en el presupuesto)</t>
  </si>
  <si>
    <t>[R1]  Infobae</t>
  </si>
  <si>
    <t>Remuneración Mínima Vital 2026: S/ 1,130</t>
  </si>
  <si>
    <t>https://www.infobae.com/peru/2026/05/13/cuanto-es-el-sueldo-minimo-en-peru-2026-conoce-el-monto-en-soles-dolares-y-euros/</t>
  </si>
  <si>
    <t>[R2]  SueldoJusto.pe</t>
  </si>
  <si>
    <t>Anuncio de RMV a S/ 1,300 (sin decreto a setiembre de 2026)</t>
  </si>
  <si>
    <t>https://sueldojusto.pe/blog/sueldo-minimo-peru/</t>
  </si>
  <si>
    <t>PLAN ESTRATÉGICO COMERCIAL 2026 – 2030   ·   COTECA S.R.L. – MUNDO DEL CAFÉ   ·   JULIACA, PUNO</t>
  </si>
  <si>
    <t>DIRECCIONAMIENTO
ESTRATÉGICO</t>
  </si>
  <si>
    <t>OBJETIVO GENERAL</t>
  </si>
  <si>
    <t>OBJETIVOS ESPECÍFICOS</t>
  </si>
  <si>
    <t>ESTRATEGIAS</t>
  </si>
  <si>
    <t>ACTIVIDADES</t>
  </si>
  <si>
    <t>SUB ACTIVIDADES</t>
  </si>
  <si>
    <t>CRONOGRAMA</t>
  </si>
  <si>
    <t>METAS</t>
  </si>
  <si>
    <t>INDICADORES</t>
  </si>
  <si>
    <t>BALANCED SCORECARD  /  TABLERO DE MANDO INTEGRAL</t>
  </si>
  <si>
    <t>PRESUPUESTO  (S/)</t>
  </si>
  <si>
    <t>2026</t>
  </si>
  <si>
    <t>2026 – 2030</t>
  </si>
  <si>
    <t>E</t>
  </si>
  <si>
    <t>F</t>
  </si>
  <si>
    <t>M</t>
  </si>
  <si>
    <t>A</t>
  </si>
  <si>
    <t>J</t>
  </si>
  <si>
    <t>S</t>
  </si>
  <si>
    <t>O</t>
  </si>
  <si>
    <t>N</t>
  </si>
  <si>
    <t>D</t>
  </si>
  <si>
    <t>MISIÓN</t>
  </si>
  <si>
    <t>Consolidar a Mundo del Café en un plazo de 24 meses como una de las marcas referentes en café orgánico y de especialidad en el mercado peruano, logrando un incremento del 15% en el volumen de ventas anual y una presencia activa en al menos 4 regiones clave del país, garantizando trazabilidad total y sostenibilidad en toda la cadena de valor.</t>
  </si>
  <si>
    <t>OE1
Consolidar la presencia comercial de Mundo del Café en la región Puno durante los próximos 12 meses, colocando su café orgánico en al menos 8 puntos de venta estratégicos (cafeterías, tiendas gourmet y hoteles) de Juliaca y Puno ciudad. A partir del mes 13 y hasta el mes 18, iniciar el ingreso a Arequipa mediante una alianza con 1 distribuidor local.</t>
  </si>
  <si>
    <t>ESTRATEGIA FO – Consolidación del mercado local:
Aprovechar la ubicación en Juliaca, el café orgánico certificado de origen Esquilaya (F1, F2) y el canal de venta por mayor ya existente (F4) para colocar el producto en cafeterías, tiendas gourmet y hoteles de Juliaca y Puno ciudad, aprovechando el crecimiento de las cafeterías de especialidad (O2); recién consolidada la región, iniciar el ingreso a Arequipa con un distribuidor local.</t>
  </si>
  <si>
    <t>A1.1
Colocar el café orgánico en al menos 8 puntos de venta estratégicos (cafeterías, tiendas gourmet y hoteles) de Juliaca y Puno ciudad.</t>
  </si>
  <si>
    <t>1. Identificar y visitar cafeterías, tiendas gourmet y hoteles de Juliaca y Puno ciudad.</t>
  </si>
  <si>
    <t>8 puntos de venta</t>
  </si>
  <si>
    <t>N° de puntos de venta estratégicos activos en la región Puno:  8 puntos de venta</t>
  </si>
  <si>
    <t>V   ≥ 8</t>
  </si>
  <si>
    <t>En nuestra empresa dedicada al rubro del café, nos comprometemos a proporcionar a nuestros clientes una experiencia excepcional de café orgánico. Trabajamos en estrecha colaboración con apasionados caficultores que cultivan nuestros granos de café de manera sostenible, utilizando métodos respetuosos con el medio ambiente y sin el uso de productos químicos nocivos.</t>
  </si>
  <si>
    <t>2. Presentar muestras y la propuesta comercial de venta por mayor.</t>
  </si>
  <si>
    <t>N   6 – 7</t>
  </si>
  <si>
    <t>3. Abastecer y hacer seguimiento mensual de ventas por punto de venta.</t>
  </si>
  <si>
    <t>R   ≤ 5</t>
  </si>
  <si>
    <t>A1.2
Iniciar el ingreso a Arequipa mediante una alianza con 1 distribuidor local (meses 13 al 18).</t>
  </si>
  <si>
    <t>1. Identificar y seleccionar distribuidores locales en Arequipa.</t>
  </si>
  <si>
    <t>No aplica en 2026
(inicia en el mes 13)</t>
  </si>
  <si>
    <t>1 distribuidor</t>
  </si>
  <si>
    <t>No aplica en 2026</t>
  </si>
  <si>
    <t>N° de distribuidores con acuerdo vigente en Arequipa:  1 distribuidor</t>
  </si>
  <si>
    <t>V   ≥ 1</t>
  </si>
  <si>
    <t>2. Negociar, firmar y renovar el acuerdo de distribución.</t>
  </si>
  <si>
    <t>—</t>
  </si>
  <si>
    <t>N   —</t>
  </si>
  <si>
    <t>3. Abastecer al distribuidor y hacer seguimiento de ventas.</t>
  </si>
  <si>
    <t>R   = 0</t>
  </si>
  <si>
    <t>OE2
Implementar en un plazo de 12 meses un programa de educación y experiencia en café de especialidad, compuesto por talleres de cata, contenido educativo y experiencias cafeteras, formando una comunidad de al menos 1 800 consumidores registrados y activos y fortaleciendo la cultura cafetera en torno a la marca.</t>
  </si>
  <si>
    <t>ESTRATEGIA FO – Educación y experiencia:
Usar la calidad premiada del origen y los servicios propios de tostado y análisis de muestras (F2, F3) para formar una comunidad de consumidores mediante cata, contenido educativo y experiencias, aprovechando el mayor consumo interno (O1).</t>
  </si>
  <si>
    <t>A2.1
Realizar talleres de cata de café de especialidad.</t>
  </si>
  <si>
    <t>1. Planificar calendario, sede y contenido de los talleres.</t>
  </si>
  <si>
    <t>6 talleres</t>
  </si>
  <si>
    <t>22 talleres</t>
  </si>
  <si>
    <t>N° de talleres de cata realizados:  6 talleres</t>
  </si>
  <si>
    <t>N° de talleres de cata realizados:  22 talleres</t>
  </si>
  <si>
    <t>V   ≥ 6</t>
  </si>
  <si>
    <t>V   ≥ 22</t>
  </si>
  <si>
    <t>2. Convocar e inscribir participantes.</t>
  </si>
  <si>
    <t>N   4 – 5</t>
  </si>
  <si>
    <t>N   15 – 21</t>
  </si>
  <si>
    <t>3. Ejecutar los talleres y registrar asistentes.</t>
  </si>
  <si>
    <t>R   ≤ 3</t>
  </si>
  <si>
    <t>R   ≤ 14</t>
  </si>
  <si>
    <t>A2.2
Producir y difundir contenido educativo sobre café de especialidad.</t>
  </si>
  <si>
    <t>1. Definir temas (origen, métodos de preparación, cata).</t>
  </si>
  <si>
    <t>24 piezas</t>
  </si>
  <si>
    <t>120 piezas</t>
  </si>
  <si>
    <t>N° de piezas de contenido educativo publicadas:  24 piezas</t>
  </si>
  <si>
    <t>N° de piezas de contenido educativo publicadas:  120 piezas</t>
  </si>
  <si>
    <t>V   ≥ 24</t>
  </si>
  <si>
    <t>V   ≥ 120</t>
  </si>
  <si>
    <t>VISIÓN AL 2030</t>
  </si>
  <si>
    <t>2. Producir las piezas de contenido educativo.</t>
  </si>
  <si>
    <t>N   17 – 23</t>
  </si>
  <si>
    <t>N   84 – 119</t>
  </si>
  <si>
    <t>Convertirnos en líderes reconocidos en la industria del café orgánico. Nos esforzamos por ser una empresa innovadora y respetuosa con el medio ambiente, marcando la pauta en términos de calidad y sostenibilidad.</t>
  </si>
  <si>
    <t>3. Publicar y medir el alcance del contenido.</t>
  </si>
  <si>
    <t>R   ≤ 16</t>
  </si>
  <si>
    <t>R   ≤ 83</t>
  </si>
  <si>
    <t>A2.3
Desarrollar experiencias cafeteras y formar la comunidad de consumidores.</t>
  </si>
  <si>
    <t>1. Diseñar las experiencias cafeteras.</t>
  </si>
  <si>
    <t>1 800 consumidores</t>
  </si>
  <si>
    <t>N° de consumidores registrados y activos en la comunidad (se mantiene):  1 800 consumidores</t>
  </si>
  <si>
    <t>V   ≥ 1 800</t>
  </si>
  <si>
    <t>2. Ejecutar las experiencias cafeteras.</t>
  </si>
  <si>
    <t>N   1 260 – 1 799</t>
  </si>
  <si>
    <t>3. Registrar y fidelizar a los participantes en la comunidad.</t>
  </si>
  <si>
    <t>R   ≤ 1 259</t>
  </si>
  <si>
    <t>OE3
Implementar en un plazo de 12 meses mejoras sostenibles en los materiales de empaque complementarios y elementos de compra, como bolsas para entrega, empaques secundarios y materiales promocionales, reduciendo progresivamente el uso de materiales convencionales y fortaleciendo la identidad ecológica de la marca.</t>
  </si>
  <si>
    <t>ESTRATEGIA DA – Diferenciación ecológica:
Reforzar la identidad orgánica en todos los elementos de compra (bolsas, empaques secundarios y material promocional) para diferenciarse de marcas regionales consolidadas (A4) y reducir el uso de materiales convencionales.</t>
  </si>
  <si>
    <t>A3.1
Reemplazar las bolsas para entrega por alternativas sostenibles.</t>
  </si>
  <si>
    <t>1. Cotizar proveedores de bolsas sostenibles.</t>
  </si>
  <si>
    <t>50% de pedidos</t>
  </si>
  <si>
    <t>100% de pedidos</t>
  </si>
  <si>
    <t>% de pedidos entregados en bolsa sostenible:  50% de pedidos</t>
  </si>
  <si>
    <t>% de pedidos entregados en bolsa sostenible:  100% de pedidos</t>
  </si>
  <si>
    <t>V   ≥ 50 %</t>
  </si>
  <si>
    <t>V   ≥ 100 %</t>
  </si>
  <si>
    <t>2. Comprar las bolsas sostenibles con marca.</t>
  </si>
  <si>
    <t>N   35 % – 49 %</t>
  </si>
  <si>
    <t>N   70 % – 99 %</t>
  </si>
  <si>
    <t>3. Implementar su uso en todas las entregas.</t>
  </si>
  <si>
    <t>R   &lt; 35 %</t>
  </si>
  <si>
    <t>R   &lt; 70 %</t>
  </si>
  <si>
    <t>A3.2
Rediseñar los empaques secundarios con materiales sostenibles.</t>
  </si>
  <si>
    <t>1. Diseñar el nuevo empaque secundario.</t>
  </si>
  <si>
    <t>50% de empaques</t>
  </si>
  <si>
    <t>100% de empaques</t>
  </si>
  <si>
    <t>% de empaques secundarios con material sostenible:  50% de empaques</t>
  </si>
  <si>
    <t>% de empaques secundarios con material sostenible:  100% de empaques</t>
  </si>
  <si>
    <t>2. Cotizar y comprar empaques secundarios sostenibles.</t>
  </si>
  <si>
    <t>PROSPECCIÓN AL 2050</t>
  </si>
  <si>
    <t>3. Implementar los nuevos empaques en los packs.</t>
  </si>
  <si>
    <t>Mundo del Café será una marca peruana referente en cafés orgánicos y de especialidad de origen puneño (Esquilaya y valles de Sandia), con una cadena de valor 100% trazable y comercio directo con familias caficultoras, adaptada al cambio climático mediante prácticas agrícolas responsables y con materiales de compra de bajo impacto ambiental.</t>
  </si>
  <si>
    <t>A3.3
Elaborar materiales promocionales con materiales sostenibles.</t>
  </si>
  <si>
    <t>1. Diseñar los materiales promocionales.</t>
  </si>
  <si>
    <t>50% de material</t>
  </si>
  <si>
    <t>100% de material</t>
  </si>
  <si>
    <t>% del material promocional elaborado con insumos sostenibles:  50% de material</t>
  </si>
  <si>
    <t>% del material promocional elaborado con insumos sostenibles:  100% de material</t>
  </si>
  <si>
    <t>2. Producir los materiales con insumos sostenibles.</t>
  </si>
  <si>
    <t>3. Distribuir los materiales en ventas y puntos de venta.</t>
  </si>
  <si>
    <t>OE4
Establecer acuerdos comerciales directos con al menos 12 familias caficultoras de la región de Sandia y otras zonas productoras durante un periodo de 18 meses, asegurando la trazabilidad del café adquirido y promoviendo prácticas agrícolas responsables.</t>
  </si>
  <si>
    <t>ESTRATEGIA FA – Abastecimiento directo y trazable:
Apoyarse en la certificación orgánica y en el análisis de muestras propio (F1, F3) para cerrar acuerdos directos con familias de Sandia y otras zonas, asegurando suministro trazable frente a la volatilidad de precios, la roya y el cambio climático (A1, A2, A3).</t>
  </si>
  <si>
    <t>A4.1
Establecer acuerdos comerciales directos con familias caficultoras de Sandia y otras zonas productoras.</t>
  </si>
  <si>
    <t>1. Identificar y visitar familias caficultoras.</t>
  </si>
  <si>
    <t>8 familias</t>
  </si>
  <si>
    <t>12 familias</t>
  </si>
  <si>
    <t>N° de familias caficultoras con acuerdo comercial directo:  8 familias</t>
  </si>
  <si>
    <t>N° de familias caficultoras con acuerdo comercial directo:  12 familias</t>
  </si>
  <si>
    <t>V   ≥ 12</t>
  </si>
  <si>
    <t>2. Evaluar la calidad del café (análisis de muestras).</t>
  </si>
  <si>
    <t>N   8 – 11</t>
  </si>
  <si>
    <t>3. Firmar y renovar los acuerdos comerciales directos.</t>
  </si>
  <si>
    <t>R   ≤ 7</t>
  </si>
  <si>
    <t>A4.2
Asegurar la trazabilidad del café adquirido.</t>
  </si>
  <si>
    <t>1. Registrar una ficha por familia, finca y lote.</t>
  </si>
  <si>
    <t>100% de lotes</t>
  </si>
  <si>
    <t>% de lotes adquiridos con registro de trazabilidad:  100% de lotes</t>
  </si>
  <si>
    <t>2. Codificar los lotes adquiridos (etiqueta QR).</t>
  </si>
  <si>
    <t>3. Informar el origen del lote en empaque y web.</t>
  </si>
  <si>
    <t>VALORES</t>
  </si>
  <si>
    <t>A4.3
Promover prácticas agrícolas responsables en las familias aliadas.</t>
  </si>
  <si>
    <t>1. Diagnosticar las prácticas agrícolas en las fincas.</t>
  </si>
  <si>
    <t>N° de familias aliadas que reciben asistencia en prácticas responsables:  8 familias</t>
  </si>
  <si>
    <t>N° de familias aliadas que reciben asistencia en prácticas responsables:  12 familias</t>
  </si>
  <si>
    <t>1. RESPETO: hacia clientes, colaboradores y familias caficultoras.
2. RESPONSABILIDAD: cumplir nuestros compromisos con la organización y el ambiente.
3. TRABAJO EN EQUIPO: sumar esfuerzos desde la finca hasta la taza.
4. CALIDAD: ofrecer café orgánico certificado y de especialidad.
5. INNOVACIÓN: mejorar continuamente productos, empaques y canales.</t>
  </si>
  <si>
    <t>2. Realizar jornadas de capacitación y asistencia.</t>
  </si>
  <si>
    <t>3. Verificar la aplicación en visitas de seguimiento.</t>
  </si>
  <si>
    <t>OE5
Generar 1000 leads mediante marketing digital en los próximos 12 meses que incremente la presencia de Mundo del Café en redes sociales, fortalezca la interacción con consumidores y permita captar nuevos clientes interesados en cafés orgánicos y de especialidad.</t>
  </si>
  <si>
    <t>ESTRATEGIA DO – Fortalecimiento digital:
Corregir las debilidades del canal web (D2, D3) y generar leads con marketing digital para aprovechar la demanda creciente de cafés orgánicos y de especialidad (O1, O2).</t>
  </si>
  <si>
    <t>A5.1
Ejecutar campañas de marketing digital para generar leads.</t>
  </si>
  <si>
    <t>1. Definir público objetivo y oferta de captación.</t>
  </si>
  <si>
    <t>1 000 leads</t>
  </si>
  <si>
    <t>5 000 leads</t>
  </si>
  <si>
    <t>N° de leads generados:  1 000 leads</t>
  </si>
  <si>
    <t>N° de leads generados:  5 000 leads</t>
  </si>
  <si>
    <t>V   ≥ 1 000</t>
  </si>
  <si>
    <t>V   ≥ 5 000</t>
  </si>
  <si>
    <t>2. Ejecutar campañas pautadas en redes sociales.</t>
  </si>
  <si>
    <t>N   700 – 999</t>
  </si>
  <si>
    <t>N   3 500 – 4 999</t>
  </si>
  <si>
    <t>3. Captar datos de contacto (formularios / WhatsApp).</t>
  </si>
  <si>
    <t>R   ≤ 699</t>
  </si>
  <si>
    <t>R   ≤ 3 499</t>
  </si>
  <si>
    <t>A5.2
Gestionar las redes sociales para incrementar presencia e interacción.</t>
  </si>
  <si>
    <t>1. Elaborar el calendario mensual de contenidos.</t>
  </si>
  <si>
    <t>12 calendarios</t>
  </si>
  <si>
    <t>60 calendarios</t>
  </si>
  <si>
    <t>N° de calendarios mensuales de contenido ejecutados:  12 calendarios</t>
  </si>
  <si>
    <t>N° de calendarios mensuales de contenido ejecutados:  60 calendarios</t>
  </si>
  <si>
    <t>V   ≥ 60</t>
  </si>
  <si>
    <t>2. Publicar contenidos en redes sociales.</t>
  </si>
  <si>
    <t>N   42 – 59</t>
  </si>
  <si>
    <t>3. Responder e interactuar con los consumidores.</t>
  </si>
  <si>
    <t>R   ≤ 41</t>
  </si>
  <si>
    <t>A5.3
Convertir los leads en nuevos clientes.</t>
  </si>
  <si>
    <t>1. Registrar los leads en una base de datos.</t>
  </si>
  <si>
    <t>100% de leads</t>
  </si>
  <si>
    <t>% de leads con seguimiento comercial:  100% de leads</t>
  </si>
  <si>
    <t>2. Realizar seguimiento comercial (WhatsApp / correo).</t>
  </si>
  <si>
    <t>3. Medir la conversión de leads a clientes.</t>
  </si>
  <si>
    <t>TOTAL DEL PRESUPUESTO DEL PLAN</t>
  </si>
  <si>
    <t>CÓMO LEER LA MATRIZ:   ■ celdas doradas = meses de ejecución de cada sub actividad   ·   V = verde (meta lograda), N = naranja (en proceso), R = rojo (no lograda)   ·   los montos del presupuesto muestran su detalle en el comentario de cada celda (costos referenciales; 2027–2030 con inflación supuesta de 2% anual).</t>
  </si>
  <si>
    <t xml:space="preserve">MATRIZ DE ALINEAMIENTO DE OBJETIVOS ESTRATEGICOS </t>
  </si>
  <si>
    <t xml:space="preserve">OBJETIVO ESTRATEGICOS </t>
  </si>
  <si>
    <t xml:space="preserve">MISION </t>
  </si>
  <si>
    <t xml:space="preserve">VISION </t>
  </si>
  <si>
    <t xml:space="preserve">PROSPECCION </t>
  </si>
  <si>
    <t xml:space="preserve">VALORES </t>
  </si>
  <si>
    <t xml:space="preserve">ACTIVIDADES </t>
  </si>
  <si>
    <t>BALACE SCORE CARD/TABLERO DE MANDO INTEGRAL</t>
  </si>
  <si>
    <t>PRESUPUESTO</t>
  </si>
  <si>
    <t xml:space="preserve">OBSERVACION  DESCRIPTIVA </t>
  </si>
  <si>
    <t>SUB ACTIVIDAD</t>
  </si>
  <si>
    <t>2017-2021</t>
  </si>
  <si>
    <t>|</t>
  </si>
  <si>
    <t>Columna2</t>
  </si>
  <si>
    <t>Columna3</t>
  </si>
  <si>
    <t>Columna4</t>
  </si>
  <si>
    <t>Columna5</t>
  </si>
  <si>
    <t>Columna6</t>
  </si>
  <si>
    <t>Columna7</t>
  </si>
  <si>
    <t>Columna8</t>
  </si>
  <si>
    <t>Columna10</t>
  </si>
  <si>
    <t>Columna11</t>
  </si>
  <si>
    <t>Columna12</t>
  </si>
  <si>
    <t>Columna13</t>
  </si>
  <si>
    <t>Columna14</t>
  </si>
  <si>
    <t>Columna15</t>
  </si>
  <si>
    <t>Columna16</t>
  </si>
  <si>
    <t>Columna17</t>
  </si>
  <si>
    <t>Columna18</t>
  </si>
  <si>
    <t>Columna19</t>
  </si>
  <si>
    <t>Columna20</t>
  </si>
  <si>
    <t xml:space="preserve">SI esta alineado </t>
  </si>
  <si>
    <t xml:space="preserve">NO esta alineado </t>
  </si>
  <si>
    <t xml:space="preserve">No aplica </t>
  </si>
  <si>
    <t>NA</t>
  </si>
  <si>
    <t>OBJETIVO ESPECIFICO 1 : Consolidar la presencia comercial de Mundo del Café en la región Puno durante los próximos 12 meses, colocando su café orgánico en al menos 8 puntos de venta estratégicos (cafeterías, tiendas gourmet y hoteles) de Juliaca y Puno ciudad. A partir del mes 13 y hasta el mes 18, iniciar el ingreso a Arequipa mediante una alianza con 1 distribuidor local.</t>
  </si>
  <si>
    <t>OBJETIVO ESPECIFICO 3: 
Implementar en un plazo de 12 meses mejoras sostenibles en los materiales de empaque complementarios y elementos de compra, como bolsas para entrega, empaques secundarios y materiales promocionales, reduciendo progresivamente el uso de materiales convencionales y fortaleciendo la identidad ecológica de la marca.</t>
  </si>
  <si>
    <t>Sí está alineado con la misión, puesto que la empresa busca desarrollar una identidad ecológica mediante prácticas sostenibles y responsables, por lo que la implementación de mejoras en los materiales de empaque permite fortalecer la propuesta de valor de la marca, reduciendo el impacto ambiental y manteniendo coherencia con la producción y comercialización de productos diferenciados. Sí está alineado con la visión, debido a que la incorporación de empaques sostenibles contribuye al posicionamiento de la marca como una empresa innovadora y comprometida con el cuidado del medio ambiente, permitiendo fortalecer su reconocimiento en el mercado nacional e internacional. Sí está alineado con la prospección, puesto que responde a las nuevas tendencias del mercado orientadas al consumo responsable, donde los clientes valoran productos con identidad ecológica y menor impacto ambiental. Sí está alineado con los valores, porque promueve principalmente la responsabilidad, innovación y calidad, al buscar mejorar los materiales utilizados en la presentación del producto y generar una experiencia de compra coherente con la filosofía de la empresa. Sí está alineado con la estrategia, debido a que el objetivo permite fortalecer la diferenciación de la marca mediante el uso de bolsas, empaques secundarios y materiales promocionales sostenibles que refuerzan su identidad ecológica frente a la competencia. Sí está alineado con las actividades y subactividades, puesto que contempla acciones relacionadas con la selección, implementación y sustitución progresiva de materiales convencionales por alternativas sostenibles. Sí está alineado con el cronograma, debido a que establece un periodo de 12 meses para ejecutar las mejoras planteadas. Sí está alineado con las metas e indicadores, porque permite medir el avance mediante la reducción del uso de materiales convencionales y el incremento de materiales sostenibles utilizados en los procesos de comercialización. Sí está alineado con el Balanced Scorecard, puesto que contribuye a mejorar la perspectiva del cliente mediante una imagen de marca responsable y fortalece los procesos internos mediante prácticas sostenibles. Sí está alineado con el presupuesto, debido a que requiere una inversión destinada a la adquisición y desarrollo de nuevos materiales de empaque que permitan cumplir con el objetivo estratégico planteado.</t>
  </si>
  <si>
    <t>OBJETIVO GENERAL : Consolidar a Mundo del Café en un plazo de 24 meses como una de las marcas referentes en café orgánico y de especialidad en el mercado peruano, logrando un incremento del 15% en el volumen de ventas anual y una presencia activa en al menos 4 regiones clave del país, garantizando trazabilidad total y sostenibilidad en toda la cadena de valor.</t>
  </si>
  <si>
    <t>Está alineado con la misión, ya que busca consolidar a Mundo del Café en café orgánico y de especialidad garantizando trazabilidad y sostenibilidad, conectando con el compromiso de ofrecer café orgánico sostenible junto a los caficultores. Está alineado con la visión, pues el posicionamiento como marca referente en 4 regiones coincide con ser "líderes reconocidos en la industria del café orgánico". No está alineado con la prospección porque no se cuenta con un enunciado de prospección formal de la empresa. Sí está alineado con los valores: la trazabilidad responde a Responsabilidad, el crecimiento en ventas y posicionamiento a Calidad e Innovación, y la expansión regional a Trabajo en equipo. Está alineado en estrategias, actividades, cronograma, metas, indicadores, balance score y presupuesto porque el objetivo general integra y se logra a través de los objetivos específicos 1, 2 y 3.</t>
  </si>
  <si>
    <t>Establecer acuerdos comerciales directos con al menos 12 familias caficultoras de la región de Sandia y otras zonas productoras durante un periodo de 18 meses, asegurando la trazabilidad del café adquirido y promoviendo prácticas agrícolas responsables.</t>
  </si>
  <si>
    <t>OBJETIVO ESPECIFICO 4 : Establecer acuerdos comerciales directos con al menos 12 familias caficultoras de la región de Sandia y otras zonas productoras durante un periodo de 18 meses, asegurando la trazabilidad del café adquirido y promoviendo prácticas agrícolas responsables.</t>
  </si>
  <si>
    <t>OBJETIVO ESPECIFICO 5 : Generar 1000 Leads mediante marketing digital en los próximos 12 meses que incremente la presencia de Mundo del Café en redes sociales, fortalezca la interacción con consumidores y permita captar nuevos clientes interesados en cafés orgánicos y de especialidad.</t>
  </si>
  <si>
    <t>No está alineado con la misión, puesto que esta se orienta principalmente a brindar una experiencia excepcional de café orgánico y al trabajo sostenible con los caficultores, mientras que el objetivo se centra en la captación de leads y el fortalecimiento del canal digital. Sí está alineado con la visión, porque una mayor presencia en redes sociales, interacción con consumidores y captación de nuevos clientes contribuye al reconocimiento de Mundo del Café como una empresa líder e innovadora en la industria del café orgánico. No está alineado directamente con la prospección al 2050, ya que esta prioriza la trazabilidad, el comercio directo con familias caficultoras, la adaptación al cambio climático y los materiales de bajo impacto ambiental. Sí está alineado con los valores, principalmente Innovación, Calidad y Responsabilidad, al utilizar herramientas digitales para acercar la oferta de cafés orgánicos y de especialidad a nuevos consumidores. Sí está alineado con la estrategia DO1 de fortalecimiento digital, orientada a mejorar el canal web y redes sociales y generar leads mediante marketing digital. Sí está alineado con las actividades A5.1, A5.2 y A5.3: ejecutar campañas de marketing digital, gestionar las redes sociales y convertir los leads en nuevos clientes. También está alineado con las subactividades, que comprenden definir el público objetivo, ejecutar campañas pautadas, captar datos de contacto, elaborar y publicar contenidos, interactuar con consumidores y realizar seguimiento comercial. Sí está alineado con el cronograma porque establece un plazo de 12 meses. Sí está alineado con las metas porque fija la generación de 1000 leads; con los indicadores porque se medirá el número de leads, la ejecución de contenidos y el seguimiento comercial; con el Balanced Scorecard porque facilita el control de resultados del cliente y de los procesos comerciales; y con el presupuesto porque las actividades contemplan recursos para pauta publicitaria, captación web, gestión de redes y seguimiento de contactos.</t>
  </si>
  <si>
    <t>OBJETIVO ESPECIFICO 2:Implementar en un plazo de 12 meses un programa de educación y experiencia en café de especialidad, compuesto por talleres de cata, contenido educativo y experiencias cafeteras, formando una comunidad de al menos 1 800 consumidores registrados y activos y fortaleciendo la cultura cafetera en torno a la marca.</t>
  </si>
  <si>
    <t>El objetivo declara un plazo de 6 meses, pero el cronograma, las metas y el presupuesto se despliegan en 2026 y hasta 2030, por lo que el plazo escrito no corresponde a lo programado. La meta de comunidad se repite igual en ambos horizontes (1 800 consumidores en 2026 y al 2030), de modo que no queda claro si es una meta de mantenimiento o si debía crecer año a año. Los talleres y las piezas de contenido sí crecen (de 6 a 22 talleres y de 24 a 120 piezas), lo que refuerza esa inconsistencia. Además, se mide cuántos consumidores se registran, pero no la fidelización que el objetivo promete, por lo que faltaría un indicador de participación recurrente.</t>
  </si>
  <si>
    <t>No esta alineado ala mision puesto que la empresa  proporciona café organico de calidad en colaboración con caficultores de manera sostenible y no consolidar presencia comercial. No esta alineado a la visión puesto que la empresa quiero convertirse líder en la industria del café organico sin la necesidad de consolidar presencia comercial. No esta alineado a la pronspección, la prospección está enfocada en la identidad, trazabilidad y sostenibilidad ambiental y no con lo comercial y táctico. si esta alineado a los valores porque responde directamente al valor de Calidad al comercializar café orgánico en puntos estratégicos, e impulsa la Innovación mediante la apertura y expansión de nuevos canales de distribución en Puno y Arequipa y refleja la Responsabilidad y el Trabajo en equipo al concretar alianzas comerciales con distribuidores, hoteles y cafeterías.Sí está alineado a la estrategia, porque la estrategia FO establece el cómo se alcanzará el objetivo comercial al utilizar la presencia local en Juliaca y los canales mayoristas actuales para posicionar el café orgánico en cafeterías, tiendas gourmet y hoteles de Puno y Juliaca, para posteriormente iniciar la expansión hacia Arequipa mediante una alianza con un distribuidor local. Si esta alineado con las actividades A1.1 y A1.2 ya que  ejecutan de forma directa y secuencial las metas operativas del objetivo especifico, cubriendo primero la colocación en los 8 puntos de venta. Si esta alineado con las subactividades operativizan el cumplimiento directo del objetivo, detallando el proceso comercial desde la captación y venta. Si esta alineado al cronograma debido a que establece un periodo de 12 meses para ejecutar las mejoras planteadas por los siguientes 3 años.Sí está alineado con las metas e indicadores, porque permite medir el avance mediante los talleres de cata, y numero de piezas de contenido educaivo publicadas y los consumidores registrados y activos de la comunidad en donde se estableceran. Sí está alineado con el Balanced Scorecard, puesto que contribuye a consolidar su presencia en Puno mediantes contenido y pruebas de cata. Sí está alineado con el presupuesto, debido a que requiere una inversión destinada a la presencia comercial en la región de Puno y su expansión a almenos 8 puntos de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</si>
</sst>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S/ &quot;#,##0"/>
  </numFmts>
  <fonts count="26" x14ac:knownFonts="1">
    <font>
      <sz val="11"/>
      <color theme="1"/>
      <name val="Calibri"/>
      <family val="2"/>
      <charset val="1"/>
    </font>
    <font>
      <b/>
      <sz val="14"/>
      <color rgb="FFFFFFFF"/>
      <name val="Calibri"/>
      <family val="2"/>
    </font>
    <font>
      <b/>
      <sz val="30"/>
      <color rgb="FFFFFFFF"/>
      <name val="Calibri"/>
      <family val="2"/>
    </font>
    <font>
      <b/>
      <sz val="10"/>
      <color rgb="FFFFFFFF"/>
      <name val="Calibri"/>
      <family val="2"/>
    </font>
    <font>
      <sz val="9"/>
      <color rgb="FF000000"/>
      <name val="Calibri"/>
      <family val="2"/>
    </font>
    <font>
      <b/>
      <sz val="9"/>
      <color rgb="FFFFFFFF"/>
      <name val="Calibri"/>
      <family val="2"/>
    </font>
    <font>
      <sz val="10"/>
      <color rgb="FF000000"/>
      <name val="Calibri"/>
      <family val="2"/>
    </font>
    <font>
      <b/>
      <sz val="9"/>
      <color rgb="FF000000"/>
      <name val="Calibri"/>
      <family val="2"/>
    </font>
    <font>
      <u/>
      <sz val="8"/>
      <color rgb="FF0563C1"/>
      <name val="Calibri"/>
      <family val="2"/>
    </font>
    <font>
      <b/>
      <sz val="7"/>
      <color rgb="FF000000"/>
      <name val="Calibri"/>
      <family val="2"/>
    </font>
    <font>
      <sz val="11"/>
      <color rgb="FF000000"/>
      <name val="Calibri"/>
      <family val="2"/>
    </font>
    <font>
      <b/>
      <sz val="9"/>
      <color rgb="FF1F3864"/>
      <name val="Calibri"/>
      <family val="2"/>
    </font>
    <font>
      <b/>
      <sz val="9"/>
      <color rgb="FF1B5E20"/>
      <name val="Calibri"/>
      <family val="2"/>
    </font>
    <font>
      <b/>
      <sz val="10"/>
      <color rgb="FF1B5E20"/>
      <name val="Calibri"/>
      <family val="2"/>
    </font>
    <font>
      <b/>
      <sz val="9"/>
      <color rgb="FF8A6100"/>
      <name val="Calibri"/>
      <family val="2"/>
    </font>
    <font>
      <b/>
      <sz val="9"/>
      <color rgb="FF9B2222"/>
      <name val="Calibri"/>
      <family val="2"/>
    </font>
    <font>
      <b/>
      <sz val="9"/>
      <color rgb="FF808080"/>
      <name val="Calibri"/>
      <family val="2"/>
    </font>
    <font>
      <b/>
      <sz val="11"/>
      <color rgb="FFFFFFFF"/>
      <name val="Calibri"/>
      <family val="2"/>
    </font>
    <font>
      <b/>
      <sz val="11"/>
      <color rgb="FF000000"/>
      <name val="Calibri"/>
      <family val="2"/>
    </font>
    <font>
      <sz val="10"/>
      <name val="Arial"/>
      <family val="2"/>
    </font>
    <font>
      <b/>
      <sz val="17"/>
      <color theme="1"/>
      <name val="Calibri"/>
      <family val="2"/>
      <scheme val="minor"/>
    </font>
    <font>
      <b/>
      <sz val="13"/>
      <name val="Calibri"/>
      <family val="2"/>
      <scheme val="minor"/>
    </font>
    <font>
      <sz val="13"/>
      <name val="Calibri"/>
      <family val="2"/>
      <scheme val="minor"/>
    </font>
    <font>
      <sz val="15"/>
      <color theme="1"/>
      <name val="Calibri"/>
      <family val="2"/>
      <scheme val="minor"/>
    </font>
    <font>
      <sz val="12"/>
      <color rgb="FF000000"/>
      <name val="Times New Roman"/>
      <family val="1"/>
    </font>
    <font>
      <sz val="11"/>
      <color rgb="FF000000"/>
      <name val="Calibri"/>
    </font>
  </fonts>
  <fills count="24">
    <fill>
      <patternFill patternType="none"/>
    </fill>
    <fill>
      <patternFill patternType="gray125"/>
    </fill>
    <fill>
      <patternFill patternType="solid">
        <fgColor rgb="FF3E2723"/>
        <bgColor rgb="FF333300"/>
      </patternFill>
    </fill>
    <fill>
      <patternFill patternType="solid">
        <fgColor rgb="FFF0E4D4"/>
        <bgColor rgb="FFE8D9C3"/>
      </patternFill>
    </fill>
    <fill>
      <patternFill patternType="solid">
        <fgColor rgb="FF2E7D32"/>
        <bgColor rgb="FF1B5E20"/>
      </patternFill>
    </fill>
    <fill>
      <patternFill patternType="solid">
        <fgColor rgb="FFB3261E"/>
        <bgColor rgb="FF9B2222"/>
      </patternFill>
    </fill>
    <fill>
      <patternFill patternType="solid">
        <fgColor rgb="FFEDF6ED"/>
        <bgColor rgb="FFEAF2FB"/>
      </patternFill>
    </fill>
    <fill>
      <patternFill patternType="solid">
        <fgColor rgb="FFFCEDEC"/>
        <bgColor rgb="FFFDF0E3"/>
      </patternFill>
    </fill>
    <fill>
      <patternFill patternType="solid">
        <fgColor rgb="FF1565C0"/>
        <bgColor rgb="FF0563C1"/>
      </patternFill>
    </fill>
    <fill>
      <patternFill patternType="solid">
        <fgColor rgb="FF6D4C41"/>
        <bgColor rgb="FF8A6100"/>
      </patternFill>
    </fill>
    <fill>
      <patternFill patternType="solid">
        <fgColor rgb="FFEAF2FB"/>
        <bgColor rgb="FFEDF6ED"/>
      </patternFill>
    </fill>
    <fill>
      <patternFill patternType="solid">
        <fgColor rgb="FFFBF7F1"/>
        <bgColor rgb="FFFDF0E3"/>
      </patternFill>
    </fill>
    <fill>
      <patternFill patternType="solid">
        <fgColor rgb="FFE65100"/>
        <bgColor rgb="FFB3261E"/>
      </patternFill>
    </fill>
    <fill>
      <patternFill patternType="solid">
        <fgColor rgb="FFFDF0E3"/>
        <bgColor rgb="FFFCEDEC"/>
      </patternFill>
    </fill>
    <fill>
      <patternFill patternType="solid">
        <fgColor rgb="FFE8D9C3"/>
        <bgColor rgb="FFF0E4D4"/>
      </patternFill>
    </fill>
    <fill>
      <patternFill patternType="solid">
        <fgColor rgb="FFA1887F"/>
        <bgColor rgb="FF808080"/>
      </patternFill>
    </fill>
    <fill>
      <patternFill patternType="solid">
        <fgColor rgb="FFFFFFFF"/>
        <bgColor rgb="FFFBF7F1"/>
      </patternFill>
    </fill>
    <fill>
      <patternFill patternType="solid">
        <fgColor rgb="FFB58A3C"/>
        <bgColor rgb="FFA1887F"/>
      </patternFill>
    </fill>
    <fill>
      <patternFill patternType="solid">
        <fgColor rgb="FFC8E6C9"/>
        <bgColor rgb="FFE8D9C3"/>
      </patternFill>
    </fill>
    <fill>
      <patternFill patternType="solid">
        <fgColor rgb="FFFFE8A3"/>
        <bgColor rgb="FFF0E4D4"/>
      </patternFill>
    </fill>
    <fill>
      <patternFill patternType="solid">
        <fgColor rgb="FFF6C3C3"/>
        <bgColor rgb="FFE8D9C3"/>
      </patternFill>
    </fill>
    <fill>
      <patternFill patternType="solid">
        <fgColor theme="5" tint="0.59999389629810485"/>
        <bgColor indexed="64"/>
      </patternFill>
    </fill>
    <fill>
      <patternFill patternType="solid">
        <fgColor theme="5" tint="0.79998168889431442"/>
        <bgColor theme="5" tint="0.79998168889431442"/>
      </patternFill>
    </fill>
    <fill>
      <patternFill patternType="solid">
        <fgColor rgb="FFFFFFFF"/>
      </patternFill>
    </fill>
  </fills>
  <borders count="24">
    <border>
      <left/>
      <right/>
      <top/>
      <bottom/>
      <diagonal/>
    </border>
    <border>
      <left style="thin">
        <color rgb="FFC9B9A6"/>
      </left>
      <right style="thin">
        <color rgb="FFC9B9A6"/>
      </right>
      <top style="thin">
        <color rgb="FFC9B9A6"/>
      </top>
      <bottom style="thin">
        <color rgb="FFC9B9A6"/>
      </bottom>
      <diagonal/>
    </border>
    <border>
      <left style="medium">
        <color rgb="FF3E2723"/>
      </left>
      <right style="thin">
        <color rgb="FFC9B9A6"/>
      </right>
      <top style="thin">
        <color rgb="FFC9B9A6"/>
      </top>
      <bottom style="thin">
        <color rgb="FFC9B9A6"/>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thin">
        <color indexed="64"/>
      </top>
      <bottom style="thin">
        <color indexed="64"/>
      </bottom>
      <diagonal/>
    </border>
    <border>
      <left style="double">
        <color indexed="64"/>
      </left>
      <right/>
      <top/>
      <bottom/>
      <diagonal/>
    </border>
    <border>
      <left style="double">
        <color indexed="64"/>
      </left>
      <right style="dashed">
        <color indexed="64"/>
      </right>
      <top style="double">
        <color indexed="64"/>
      </top>
      <bottom style="double">
        <color indexed="64"/>
      </bottom>
      <diagonal/>
    </border>
    <border>
      <left style="double">
        <color indexed="64"/>
      </left>
      <right style="dashed">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bottom style="double">
        <color indexed="64"/>
      </bottom>
      <diagonal/>
    </border>
    <border>
      <left style="double">
        <color indexed="64"/>
      </left>
      <right style="dashed">
        <color indexed="64"/>
      </right>
      <top style="thin">
        <color indexed="64"/>
      </top>
      <bottom style="double">
        <color indexed="64"/>
      </bottom>
      <diagonal/>
    </border>
    <border>
      <left/>
      <right style="double">
        <color indexed="64"/>
      </right>
      <top style="thin">
        <color indexed="64"/>
      </top>
      <bottom style="double">
        <color indexed="64"/>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double">
        <color indexed="64"/>
      </top>
      <bottom/>
      <diagonal/>
    </border>
  </borders>
  <cellStyleXfs count="1">
    <xf numFmtId="0" fontId="0" fillId="0" borderId="0"/>
  </cellStyleXfs>
  <cellXfs count="87">
    <xf numFmtId="0" fontId="0" fillId="0" borderId="0" xfId="0"/>
    <xf numFmtId="0" fontId="3" fillId="8" borderId="1" xfId="0" applyFont="1" applyFill="1" applyBorder="1" applyAlignment="1">
      <alignment horizontal="center" vertical="center" wrapText="1"/>
    </xf>
    <xf numFmtId="0" fontId="4" fillId="10" borderId="1" xfId="0" applyFont="1" applyFill="1" applyBorder="1" applyAlignment="1">
      <alignment horizontal="left" vertical="top" wrapText="1"/>
    </xf>
    <xf numFmtId="0" fontId="3" fillId="12" borderId="1" xfId="0" applyFont="1" applyFill="1" applyBorder="1" applyAlignment="1">
      <alignment horizontal="center" vertical="center" wrapText="1"/>
    </xf>
    <xf numFmtId="0" fontId="4" fillId="13" borderId="1" xfId="0" applyFont="1" applyFill="1" applyBorder="1" applyAlignment="1">
      <alignment horizontal="left" vertical="top" wrapText="1"/>
    </xf>
    <xf numFmtId="0" fontId="7" fillId="14" borderId="1" xfId="0" applyFont="1" applyFill="1" applyBorder="1" applyAlignment="1">
      <alignment horizontal="center" vertical="center" wrapText="1"/>
    </xf>
    <xf numFmtId="0" fontId="7" fillId="16"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17" borderId="2" xfId="0" applyFill="1" applyBorder="1"/>
    <xf numFmtId="0" fontId="0" fillId="17" borderId="1" xfId="0" applyFill="1" applyBorder="1"/>
    <xf numFmtId="0" fontId="0" fillId="0" borderId="1" xfId="0" applyBorder="1"/>
    <xf numFmtId="0" fontId="0" fillId="0" borderId="2" xfId="0" applyBorder="1"/>
    <xf numFmtId="164" fontId="18" fillId="14" borderId="1" xfId="0" applyNumberFormat="1" applyFont="1" applyFill="1" applyBorder="1" applyAlignment="1">
      <alignment horizontal="center" vertical="center" wrapText="1"/>
    </xf>
    <xf numFmtId="0" fontId="21" fillId="21" borderId="4" xfId="0" applyFont="1" applyFill="1" applyBorder="1" applyAlignment="1">
      <alignment horizontal="center" vertical="center" wrapText="1"/>
    </xf>
    <xf numFmtId="0" fontId="21" fillId="21" borderId="11" xfId="0" applyFont="1" applyFill="1" applyBorder="1" applyAlignment="1">
      <alignment horizontal="center" vertical="center" wrapText="1"/>
    </xf>
    <xf numFmtId="0" fontId="21" fillId="21" borderId="16" xfId="0" applyFont="1" applyFill="1" applyBorder="1" applyAlignment="1">
      <alignment horizontal="center" vertical="center" wrapText="1"/>
    </xf>
    <xf numFmtId="0" fontId="0" fillId="0" borderId="19" xfId="0" applyBorder="1" applyAlignment="1">
      <alignment horizontal="left" vertical="top"/>
    </xf>
    <xf numFmtId="0" fontId="23" fillId="0" borderId="20" xfId="0" applyFont="1" applyBorder="1" applyAlignment="1">
      <alignment horizontal="center" vertical="center"/>
    </xf>
    <xf numFmtId="0" fontId="0" fillId="0" borderId="16" xfId="0" applyBorder="1"/>
    <xf numFmtId="0" fontId="0" fillId="0" borderId="6" xfId="0" applyBorder="1" applyAlignment="1">
      <alignment horizontal="left" vertical="top" wrapText="1"/>
    </xf>
    <xf numFmtId="0" fontId="23" fillId="0" borderId="21" xfId="0" applyFont="1" applyBorder="1" applyAlignment="1">
      <alignment horizontal="center" vertical="center"/>
    </xf>
    <xf numFmtId="0" fontId="0" fillId="0" borderId="5" xfId="0" applyBorder="1" applyAlignment="1">
      <alignment vertical="top" wrapText="1"/>
    </xf>
    <xf numFmtId="0" fontId="0" fillId="0" borderId="22" xfId="0" applyBorder="1" applyAlignment="1">
      <alignment horizontal="left" vertical="top" wrapText="1"/>
    </xf>
    <xf numFmtId="0" fontId="23" fillId="0" borderId="23" xfId="0" applyFont="1" applyBorder="1" applyAlignment="1">
      <alignment horizontal="center" vertical="center"/>
    </xf>
    <xf numFmtId="0" fontId="0" fillId="0" borderId="4" xfId="0" applyBorder="1" applyAlignment="1">
      <alignment vertical="top" wrapText="1"/>
    </xf>
    <xf numFmtId="0" fontId="0" fillId="22" borderId="21" xfId="0" applyFill="1" applyBorder="1" applyAlignment="1">
      <alignment horizontal="left" vertical="top"/>
    </xf>
    <xf numFmtId="0" fontId="23" fillId="22" borderId="21" xfId="0" applyFont="1" applyFill="1" applyBorder="1" applyAlignment="1">
      <alignment horizontal="center" vertical="center"/>
    </xf>
    <xf numFmtId="0" fontId="0" fillId="0" borderId="21" xfId="0" applyBorder="1" applyAlignment="1">
      <alignment horizontal="left" vertical="top"/>
    </xf>
    <xf numFmtId="0" fontId="0" fillId="0" borderId="5" xfId="0" applyBorder="1" applyAlignment="1">
      <alignment horizontal="center" vertical="center" wrapText="1"/>
    </xf>
    <xf numFmtId="0" fontId="24" fillId="0" borderId="0" xfId="0" applyFont="1" applyAlignment="1">
      <alignment vertical="center"/>
    </xf>
    <xf numFmtId="0" fontId="25" fillId="23" borderId="22" xfId="0" applyFont="1" applyFill="1" applyBorder="1" applyAlignment="1">
      <alignment horizontal="left" vertical="top" wrapText="1"/>
    </xf>
    <xf numFmtId="0" fontId="23" fillId="23" borderId="23" xfId="0" applyFont="1" applyFill="1" applyBorder="1" applyAlignment="1">
      <alignment horizontal="center" vertical="center"/>
    </xf>
    <xf numFmtId="0" fontId="25" fillId="23" borderId="4"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5" fillId="9"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14"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4" fillId="16"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2" fillId="18" borderId="1" xfId="0" applyFont="1" applyFill="1" applyBorder="1" applyAlignment="1">
      <alignment horizontal="center" vertical="center" wrapText="1"/>
    </xf>
    <xf numFmtId="164" fontId="13"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15" fillId="20"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17" fillId="2" borderId="1" xfId="0" applyFont="1" applyFill="1" applyBorder="1" applyAlignment="1">
      <alignment horizontal="right" vertical="center"/>
    </xf>
    <xf numFmtId="0" fontId="4" fillId="3" borderId="1" xfId="0" applyFont="1" applyFill="1" applyBorder="1" applyAlignment="1">
      <alignment horizontal="left" vertical="center" wrapText="1"/>
    </xf>
    <xf numFmtId="0" fontId="21" fillId="21" borderId="7" xfId="0" applyFont="1" applyFill="1" applyBorder="1" applyAlignment="1">
      <alignment horizontal="center" vertical="center" wrapText="1"/>
    </xf>
    <xf numFmtId="0" fontId="21" fillId="21" borderId="8" xfId="0" applyFont="1" applyFill="1" applyBorder="1" applyAlignment="1">
      <alignment horizontal="center" vertical="center" wrapText="1"/>
    </xf>
    <xf numFmtId="0" fontId="21" fillId="21" borderId="5" xfId="0" applyFont="1" applyFill="1" applyBorder="1" applyAlignment="1">
      <alignment horizontal="center" vertical="center" wrapText="1"/>
    </xf>
    <xf numFmtId="0" fontId="21" fillId="21" borderId="9" xfId="0" applyFont="1" applyFill="1" applyBorder="1" applyAlignment="1">
      <alignment horizontal="center" vertical="center" wrapText="1"/>
    </xf>
    <xf numFmtId="0" fontId="22" fillId="21" borderId="14" xfId="0" applyFont="1" applyFill="1" applyBorder="1" applyAlignment="1">
      <alignment horizontal="center" vertical="center"/>
    </xf>
    <xf numFmtId="0" fontId="22" fillId="21" borderId="18" xfId="0" applyFont="1" applyFill="1" applyBorder="1" applyAlignment="1">
      <alignment horizontal="center" vertical="center"/>
    </xf>
    <xf numFmtId="0" fontId="22" fillId="21" borderId="4" xfId="0" applyFont="1" applyFill="1" applyBorder="1" applyAlignment="1">
      <alignment horizontal="center" vertical="center"/>
    </xf>
    <xf numFmtId="0" fontId="22" fillId="21" borderId="16" xfId="0" applyFont="1" applyFill="1" applyBorder="1" applyAlignment="1">
      <alignment horizontal="center" vertical="center"/>
    </xf>
    <xf numFmtId="0" fontId="22" fillId="21" borderId="13" xfId="0" applyFont="1" applyFill="1" applyBorder="1" applyAlignment="1">
      <alignment horizontal="center" vertical="center"/>
    </xf>
    <xf numFmtId="0" fontId="22" fillId="21" borderId="17" xfId="0" applyFont="1" applyFill="1" applyBorder="1" applyAlignment="1">
      <alignment horizontal="center" vertical="center"/>
    </xf>
    <xf numFmtId="0" fontId="20" fillId="0" borderId="0" xfId="0" applyFont="1" applyAlignment="1">
      <alignment horizontal="center"/>
    </xf>
    <xf numFmtId="0" fontId="21" fillId="21" borderId="3" xfId="0" applyFont="1" applyFill="1" applyBorder="1" applyAlignment="1">
      <alignment horizontal="center" vertical="center"/>
    </xf>
    <xf numFmtId="0" fontId="21" fillId="21" borderId="10" xfId="0" applyFont="1" applyFill="1" applyBorder="1" applyAlignment="1">
      <alignment horizontal="center" vertical="center"/>
    </xf>
    <xf numFmtId="0" fontId="21" fillId="21" borderId="15" xfId="0" applyFont="1" applyFill="1" applyBorder="1" applyAlignment="1">
      <alignment horizontal="center" vertical="center"/>
    </xf>
    <xf numFmtId="0" fontId="21" fillId="21" borderId="3" xfId="0" applyFont="1" applyFill="1" applyBorder="1" applyAlignment="1">
      <alignment horizontal="center" vertical="center" wrapText="1"/>
    </xf>
    <xf numFmtId="0" fontId="21" fillId="21" borderId="10" xfId="0" applyFont="1" applyFill="1" applyBorder="1" applyAlignment="1">
      <alignment horizontal="center" vertical="center" wrapText="1"/>
    </xf>
    <xf numFmtId="0" fontId="21" fillId="21" borderId="15" xfId="0" applyFont="1" applyFill="1" applyBorder="1" applyAlignment="1">
      <alignment horizontal="center" vertical="center" wrapText="1"/>
    </xf>
    <xf numFmtId="0" fontId="21" fillId="21" borderId="6" xfId="0" applyFont="1" applyFill="1" applyBorder="1" applyAlignment="1">
      <alignment horizontal="center" vertical="center" wrapText="1"/>
    </xf>
    <xf numFmtId="0" fontId="22" fillId="21" borderId="12" xfId="0" applyFont="1" applyFill="1" applyBorder="1" applyAlignment="1">
      <alignment horizontal="center" vertical="center"/>
    </xf>
    <xf numFmtId="0" fontId="22" fillId="21" borderId="6" xfId="0" applyFont="1" applyFill="1" applyBorder="1" applyAlignment="1">
      <alignment horizontal="center" vertical="center"/>
    </xf>
  </cellXfs>
  <cellStyles count="1">
    <cellStyle name="Normal" xfId="0" builtinId="0"/>
  </cellStyles>
  <dxfs count="24">
    <dxf>
      <border diagonalUp="0" diagonalDown="0">
        <left style="double">
          <color indexed="64"/>
        </left>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alignment horizontal="left" vertical="top" textRotation="0" wrapText="1" indent="0" justifyLastLine="0" shrinkToFit="0" readingOrder="0"/>
      <border diagonalUp="0" diagonalDown="0">
        <left/>
        <right style="double">
          <color indexed="64"/>
        </right>
        <top style="double">
          <color indexed="64"/>
        </top>
        <bottom style="double">
          <color indexed="64"/>
        </bottom>
        <vertical/>
        <horizontal/>
      </border>
    </dxf>
    <dxf>
      <border outline="0">
        <top style="double">
          <color indexed="64"/>
        </top>
      </border>
    </dxf>
    <dxf>
      <border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5"/>
        <color theme="1"/>
        <name val="Calibri"/>
        <family val="2"/>
        <scheme val="minor"/>
      </font>
      <alignment horizontal="center" vertical="center" textRotation="0" wrapText="0" indent="0" justifyLastLine="0" shrinkToFit="0" readingOrder="0"/>
      <border diagonalUp="0" diagonalDown="0" outline="0">
        <left style="double">
          <color indexed="64"/>
        </left>
        <right style="double">
          <color indexed="64"/>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A6100"/>
      <rgbColor rgb="FF800080"/>
      <rgbColor rgb="FF008080"/>
      <rgbColor rgb="FFC9B9A6"/>
      <rgbColor rgb="FF808080"/>
      <rgbColor rgb="FF9999FF"/>
      <rgbColor rgb="FFB3261E"/>
      <rgbColor rgb="FFFDF0E3"/>
      <rgbColor rgb="FFEAF2FB"/>
      <rgbColor rgb="FF660066"/>
      <rgbColor rgb="FFFF8080"/>
      <rgbColor rgb="FF0563C1"/>
      <rgbColor rgb="FFE8D9C3"/>
      <rgbColor rgb="FF000080"/>
      <rgbColor rgb="FFFF00FF"/>
      <rgbColor rgb="FFFFFF00"/>
      <rgbColor rgb="FF00FFFF"/>
      <rgbColor rgb="FF800080"/>
      <rgbColor rgb="FF800000"/>
      <rgbColor rgb="FF008080"/>
      <rgbColor rgb="FF0000FF"/>
      <rgbColor rgb="FF00CCFF"/>
      <rgbColor rgb="FFEDF6ED"/>
      <rgbColor rgb="FFC8E6C9"/>
      <rgbColor rgb="FFFFE8A3"/>
      <rgbColor rgb="FFF0E4D4"/>
      <rgbColor rgb="FFFCEDEC"/>
      <rgbColor rgb="FFFBF7F1"/>
      <rgbColor rgb="FFF6C3C3"/>
      <rgbColor rgb="FF1565C0"/>
      <rgbColor rgb="FF33CCCC"/>
      <rgbColor rgb="FF99CC00"/>
      <rgbColor rgb="FFFFCC00"/>
      <rgbColor rgb="FFB58A3C"/>
      <rgbColor rgb="FFE65100"/>
      <rgbColor rgb="FF666699"/>
      <rgbColor rgb="FFA1887F"/>
      <rgbColor rgb="FF1F3864"/>
      <rgbColor rgb="FF2E7D32"/>
      <rgbColor rgb="FF003300"/>
      <rgbColor rgb="FF333300"/>
      <rgbColor rgb="FF9B2222"/>
      <rgbColor rgb="FF6D4C41"/>
      <rgbColor rgb="FF333399"/>
      <rgbColor rgb="FF3E27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675055</xdr:colOff>
      <xdr:row>16</xdr:row>
      <xdr:rowOff>103495</xdr:rowOff>
    </xdr:to>
    <xdr:pic>
      <xdr:nvPicPr>
        <xdr:cNvPr id="2" name="Imagen 1">
          <a:extLst>
            <a:ext uri="{FF2B5EF4-FFF2-40B4-BE49-F238E27FC236}">
              <a16:creationId xmlns:a16="http://schemas.microsoft.com/office/drawing/2014/main" id="{0FAAF502-B073-4701-AD22-43D458E9C223}"/>
            </a:ext>
          </a:extLst>
        </xdr:cNvPr>
        <xdr:cNvPicPr>
          <a:picLocks noChangeAspect="1"/>
        </xdr:cNvPicPr>
      </xdr:nvPicPr>
      <xdr:blipFill>
        <a:blip xmlns:r="http://schemas.openxmlformats.org/officeDocument/2006/relationships" r:embed="rId1"/>
        <a:stretch>
          <a:fillRect/>
        </a:stretch>
      </xdr:blipFill>
      <xdr:spPr>
        <a:xfrm>
          <a:off x="0" y="0"/>
          <a:ext cx="5377684" cy="3064409"/>
        </a:xfrm>
        <a:prstGeom prst="rect">
          <a:avLst/>
        </a:prstGeom>
      </xdr:spPr>
    </xdr:pic>
    <xdr:clientData/>
  </xdr:twoCellAnchor>
  <xdr:twoCellAnchor editAs="oneCell">
    <xdr:from>
      <xdr:col>6</xdr:col>
      <xdr:colOff>696686</xdr:colOff>
      <xdr:row>0</xdr:row>
      <xdr:rowOff>16328</xdr:rowOff>
    </xdr:from>
    <xdr:to>
      <xdr:col>13</xdr:col>
      <xdr:colOff>680357</xdr:colOff>
      <xdr:row>16</xdr:row>
      <xdr:rowOff>64235</xdr:rowOff>
    </xdr:to>
    <xdr:pic>
      <xdr:nvPicPr>
        <xdr:cNvPr id="3" name="Imagen 2">
          <a:extLst>
            <a:ext uri="{FF2B5EF4-FFF2-40B4-BE49-F238E27FC236}">
              <a16:creationId xmlns:a16="http://schemas.microsoft.com/office/drawing/2014/main" id="{0108DEAE-658A-41E9-BB62-8975568672C8}"/>
            </a:ext>
          </a:extLst>
        </xdr:cNvPr>
        <xdr:cNvPicPr>
          <a:picLocks noChangeAspect="1"/>
        </xdr:cNvPicPr>
      </xdr:nvPicPr>
      <xdr:blipFill>
        <a:blip xmlns:r="http://schemas.openxmlformats.org/officeDocument/2006/relationships" r:embed="rId2"/>
        <a:stretch>
          <a:fillRect/>
        </a:stretch>
      </xdr:blipFill>
      <xdr:spPr>
        <a:xfrm>
          <a:off x="5399315" y="16328"/>
          <a:ext cx="5470071" cy="300882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786437-9F1C-4BA3-A26C-F6E485980B7C}" name="Tabla1" displayName="Tabla1" ref="B7:T13" totalsRowShown="0" headerRowDxfId="23" dataDxfId="21" headerRowBorderDxfId="22" tableBorderDxfId="20" totalsRowBorderDxfId="19">
  <autoFilter ref="B7:T13" xr:uid="{92786437-9F1C-4BA3-A26C-F6E485980B7C}"/>
  <tableColumns count="19">
    <tableColumn id="1" xr3:uid="{581BCC80-7104-42AD-835D-C08AC761F498}" name="|" dataDxfId="18"/>
    <tableColumn id="2" xr3:uid="{57046C69-FF45-4AAD-B5A4-D6C93AF82DEF}" name="Columna2" dataDxfId="17"/>
    <tableColumn id="3" xr3:uid="{BBA0021B-E22D-4E04-B658-E349698358C2}" name="Columna3" dataDxfId="16"/>
    <tableColumn id="4" xr3:uid="{A057A157-FAF1-47E1-A93D-3EFE2A5AAB44}" name="Columna4" dataDxfId="15"/>
    <tableColumn id="5" xr3:uid="{7AF6C7DF-A116-4163-906E-E05D2E501551}" name="Columna5" dataDxfId="14"/>
    <tableColumn id="6" xr3:uid="{18C5BD72-E450-497C-A95B-4FABBAA55785}" name="Columna6" dataDxfId="13"/>
    <tableColumn id="7" xr3:uid="{87153F39-9AFF-4E77-A817-7E4094D97627}" name="Columna7" dataDxfId="12"/>
    <tableColumn id="8" xr3:uid="{6AEA37BB-B705-4E6A-B884-CBCEE44137D9}" name="Columna8" dataDxfId="11"/>
    <tableColumn id="10" xr3:uid="{E11341E3-CC83-4456-8D4A-8DB9617BCA2E}" name="Columna10" dataDxfId="10"/>
    <tableColumn id="11" xr3:uid="{456374E7-0CF8-4D08-AB74-4D48AA7C61D3}" name="Columna11" dataDxfId="9"/>
    <tableColumn id="12" xr3:uid="{C8231499-AE92-4309-904C-E9BA5E951F9C}" name="Columna12" dataDxfId="8"/>
    <tableColumn id="13" xr3:uid="{3D104D13-0E05-4762-B3E7-A92D785F7544}" name="Columna13" dataDxfId="7"/>
    <tableColumn id="14" xr3:uid="{45BB6B06-66B4-44B0-8BC1-925CDC6E7381}" name="Columna14" dataDxfId="6"/>
    <tableColumn id="15" xr3:uid="{9F77A957-1824-48E5-8DB7-42B03EF3C877}" name="Columna15" dataDxfId="5"/>
    <tableColumn id="16" xr3:uid="{B391B46F-BDE0-48A6-B69D-68548D9B5B7C}" name="Columna16" dataDxfId="4"/>
    <tableColumn id="17" xr3:uid="{50672956-5ECA-44B8-8D4B-EFB2C4BCA025}" name="Columna17" dataDxfId="3"/>
    <tableColumn id="18" xr3:uid="{9B24BCAE-D2F5-41E3-9978-EDFB55219B40}" name="Columna18" dataDxfId="2"/>
    <tableColumn id="19" xr3:uid="{4BFC431E-1E5E-4DA2-B296-6267BC3F920F}" name="Columna19" dataDxfId="1"/>
    <tableColumn id="20" xr3:uid="{CA018DDD-7D89-4375-9E4E-88BF46CE0EBC}" name="Columna20"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ubicania.com/empresas/coteca-sociedad-comercial-de-rsponsabilidad-limitada-coteca-s-r-l_id_D068CD5055E50F84" TargetMode="External"/><Relationship Id="rId13" Type="http://schemas.openxmlformats.org/officeDocument/2006/relationships/hyperlink" Target="https://agraria.pe/noticias/puno-impulsaran-produccion-de-cafe-en-sandia-35513" TargetMode="External"/><Relationship Id="rId18" Type="http://schemas.openxmlformats.org/officeDocument/2006/relationships/hyperlink" Target="https://andina.pe/ingles/noticia-caficultores-puno-ofreceran-sus-mejores-variedades-la-semana-cafe-y-cacao-758853.aspx" TargetMode="External"/><Relationship Id="rId26" Type="http://schemas.openxmlformats.org/officeDocument/2006/relationships/hyperlink" Target="https://sueldojusto.pe/blog/sueldo-minimo-peru/" TargetMode="External"/><Relationship Id="rId3" Type="http://schemas.openxmlformats.org/officeDocument/2006/relationships/hyperlink" Target="https://mundodelcafe.com.pe/index.php/venta-por-mayor/" TargetMode="External"/><Relationship Id="rId21" Type="http://schemas.openxmlformats.org/officeDocument/2006/relationships/hyperlink" Target="https://cafelab.pe/la-apuesta-de-cecovasa-cafe-tunki-nuevas-marcas-puno/" TargetMode="External"/><Relationship Id="rId7" Type="http://schemas.openxmlformats.org/officeDocument/2006/relationships/hyperlink" Target="https://www.datosperu.org/empresa-coteca-sociedad-comercial-de-rsponsabilidad-limitada-coteca-srl-20605537147.php" TargetMode="External"/><Relationship Id="rId12" Type="http://schemas.openxmlformats.org/officeDocument/2006/relationships/hyperlink" Target="https://www.revistaeconomia.com/la-meta-es-incrementar-el-consumo-por-persona-a-1-4-kilos-de-cafe-al-2025/" TargetMode="External"/><Relationship Id="rId17" Type="http://schemas.openxmlformats.org/officeDocument/2006/relationships/hyperlink" Target="https://diariocorreo.pe/edicion/lima/festival-cafesazo-peruano-2026-cafe-gratis-y-mas-de-150-expositores-en-lima-noticia/" TargetMode="External"/><Relationship Id="rId25" Type="http://schemas.openxmlformats.org/officeDocument/2006/relationships/hyperlink" Target="https://www.infobae.com/peru/2026/05/13/cuanto-es-el-sueldo-minimo-en-peru-2026-conoce-el-monto-en-soles-dolares-y-euros/" TargetMode="External"/><Relationship Id="rId2" Type="http://schemas.openxmlformats.org/officeDocument/2006/relationships/hyperlink" Target="https://mundodelcafe.com.pe/index.php/elementor-6369/" TargetMode="External"/><Relationship Id="rId16" Type="http://schemas.openxmlformats.org/officeDocument/2006/relationships/hyperlink" Target="https://www.infobae.com/peru/2025/07/19/el-cafe-peruano-continua-conquistando-mercados-globales-y-abre-nuevas-oportunidades-para-las-familias/" TargetMode="External"/><Relationship Id="rId20" Type="http://schemas.openxmlformats.org/officeDocument/2006/relationships/hyperlink" Target="https://juntadelcafe.org.pe/la-iniciativa-en-puno-que-ha-permitido-que-68-familias-produzcan-cafe-conservando-622-hectareas-de-bosque-de-la-amazonia/" TargetMode="External"/><Relationship Id="rId1" Type="http://schemas.openxmlformats.org/officeDocument/2006/relationships/hyperlink" Target="https://mundodelcafe.com.pe/" TargetMode="External"/><Relationship Id="rId6" Type="http://schemas.openxmlformats.org/officeDocument/2006/relationships/hyperlink" Target="https://www.veritradecorp.com/es/peru/importaciones-y-exportaciones-coteca-sociedad-comercial-de-responsabil/ruc-20605537147" TargetMode="External"/><Relationship Id="rId11" Type="http://schemas.openxmlformats.org/officeDocument/2006/relationships/hyperlink" Target="https://americaretail-malls.com/paises/peru/el-crecimiento-imparable-de-las-cafeterias-de-especialidad-en-peru-estrategias-y-desafios/" TargetMode="External"/><Relationship Id="rId24" Type="http://schemas.openxmlformats.org/officeDocument/2006/relationships/hyperlink" Target="https://www.tiktok.com/discover/cafeter&#237;a-juliaca" TargetMode="External"/><Relationship Id="rId5" Type="http://schemas.openxmlformats.org/officeDocument/2006/relationships/hyperlink" Target="https://farmdirectory.cupofexcellence.org/listing/26-alto-mirador-peru-2023" TargetMode="External"/><Relationship Id="rId15" Type="http://schemas.openxmlformats.org/officeDocument/2006/relationships/hyperlink" Target="https://www.gob.pe/institucion/tuempresa/noticias/1426489-mype-de-puno-promovidas-por-produce-destacan-entre-los-mejores-cafes-del-mundo" TargetMode="External"/><Relationship Id="rId23" Type="http://schemas.openxmlformats.org/officeDocument/2006/relationships/hyperlink" Target="https://rpp.pe/peru/actualidad/puno-el-mejor-cafe-del-peru-se-cultiva-en-sandia-noticia-414030" TargetMode="External"/><Relationship Id="rId10" Type="http://schemas.openxmlformats.org/officeDocument/2006/relationships/hyperlink" Target="https://juntadelcafe.org.pe/jnc-entre-el-70-y-75-del-area-de-cafe-en-peru-requieren-renovarse-porque-tienen-ciclos-productivos-mayores-a-los-15-anos/" TargetMode="External"/><Relationship Id="rId19" Type="http://schemas.openxmlformats.org/officeDocument/2006/relationships/hyperlink" Target="https://elperuano.pe/noticia/287684-midagri-exportaciones-de-cafe-batieron-record-en-ventas-durante-el-2025" TargetMode="External"/><Relationship Id="rId4" Type="http://schemas.openxmlformats.org/officeDocument/2006/relationships/hyperlink" Target="https://andina.pe/agencia/noticia-conoce-a-adan-rodrigo-productor-cafe-organico-puno-galardonado-francia-822210.aspx" TargetMode="External"/><Relationship Id="rId9" Type="http://schemas.openxmlformats.org/officeDocument/2006/relationships/hyperlink" Target="https://www.facebook.com/p/Mundo-del-Caf&#233;-100094262035945/" TargetMode="External"/><Relationship Id="rId14" Type="http://schemas.openxmlformats.org/officeDocument/2006/relationships/hyperlink" Target="https://andina.pe/agencia/noticia-puno-invertiran-s-46-millones-para-impulsar-produccion-cafe-organico-sandia-869080.aspx" TargetMode="External"/><Relationship Id="rId22" Type="http://schemas.openxmlformats.org/officeDocument/2006/relationships/hyperlink" Target="https://larepublica.pe/sociedad/2023/07/09/puno-el-mejor-cafe-del-mundo-se-produce-en-lo-mas-profundo-de-la-selva-punena-lrsd-824967"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90BA-7BFD-460A-BD3A-A9965C62FB16}">
  <dimension ref="A1"/>
  <sheetViews>
    <sheetView workbookViewId="0">
      <selection activeCell="M22" sqref="M22"/>
    </sheetView>
    <sheetView workbookViewId="1"/>
  </sheetViews>
  <sheetFormatPr baseColWidth="10" defaultRowHeight="14.6" x14ac:dyDescent="0.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45"/>
  <sheetViews>
    <sheetView showGridLines="0" zoomScaleNormal="100" workbookViewId="0">
      <selection activeCell="C15" sqref="C15:D15"/>
    </sheetView>
    <sheetView workbookViewId="1"/>
  </sheetViews>
  <sheetFormatPr baseColWidth="10" defaultColWidth="8.69140625" defaultRowHeight="14.6" x14ac:dyDescent="0.4"/>
  <cols>
    <col min="1" max="1" width="2.4609375" customWidth="1"/>
    <col min="2" max="2" width="55.4609375" customWidth="1"/>
    <col min="3" max="3" width="24" customWidth="1"/>
    <col min="4" max="4" width="38.3046875" customWidth="1"/>
    <col min="5" max="5" width="24" customWidth="1"/>
    <col min="6" max="6" width="30" customWidth="1"/>
  </cols>
  <sheetData>
    <row r="2" spans="2:6" ht="30" customHeight="1" x14ac:dyDescent="0.4">
      <c r="B2" s="35" t="s">
        <v>0</v>
      </c>
      <c r="C2" s="35"/>
      <c r="D2" s="35"/>
      <c r="E2" s="35"/>
      <c r="F2" s="35"/>
    </row>
    <row r="3" spans="2:6" ht="5.25" customHeight="1" x14ac:dyDescent="0.4"/>
    <row r="4" spans="2:6" ht="25.5" customHeight="1" x14ac:dyDescent="0.4">
      <c r="B4" s="36" t="s">
        <v>1</v>
      </c>
      <c r="C4" s="37" t="s">
        <v>2</v>
      </c>
      <c r="D4" s="37"/>
      <c r="E4" s="38" t="s">
        <v>3</v>
      </c>
      <c r="F4" s="38"/>
    </row>
    <row r="5" spans="2:6" ht="109.5" customHeight="1" x14ac:dyDescent="0.4">
      <c r="B5" s="36"/>
      <c r="C5" s="39" t="s">
        <v>4</v>
      </c>
      <c r="D5" s="39"/>
      <c r="E5" s="40" t="s">
        <v>5</v>
      </c>
      <c r="F5" s="40"/>
    </row>
    <row r="6" spans="2:6" ht="21.75" customHeight="1" x14ac:dyDescent="0.4">
      <c r="B6" s="1" t="s">
        <v>6</v>
      </c>
      <c r="C6" s="41" t="s">
        <v>7</v>
      </c>
      <c r="D6" s="41"/>
      <c r="E6" s="41" t="s">
        <v>8</v>
      </c>
      <c r="F6" s="41"/>
    </row>
    <row r="7" spans="2:6" ht="121.5" customHeight="1" x14ac:dyDescent="0.4">
      <c r="B7" s="2" t="s">
        <v>9</v>
      </c>
      <c r="C7" s="42" t="s">
        <v>10</v>
      </c>
      <c r="D7" s="42"/>
      <c r="E7" s="42" t="s">
        <v>11</v>
      </c>
      <c r="F7" s="42"/>
    </row>
    <row r="8" spans="2:6" ht="21.75" customHeight="1" x14ac:dyDescent="0.4">
      <c r="B8" s="3" t="s">
        <v>12</v>
      </c>
      <c r="C8" s="41" t="s">
        <v>13</v>
      </c>
      <c r="D8" s="41"/>
      <c r="E8" s="41" t="s">
        <v>14</v>
      </c>
      <c r="F8" s="41"/>
    </row>
    <row r="9" spans="2:6" ht="122.25" customHeight="1" x14ac:dyDescent="0.4">
      <c r="B9" s="4" t="s">
        <v>15</v>
      </c>
      <c r="C9" s="42" t="s">
        <v>16</v>
      </c>
      <c r="D9" s="42"/>
      <c r="E9" s="42" t="s">
        <v>17</v>
      </c>
      <c r="F9" s="42"/>
    </row>
    <row r="11" spans="2:6" ht="15" customHeight="1" x14ac:dyDescent="0.4">
      <c r="B11" s="43" t="s">
        <v>18</v>
      </c>
      <c r="C11" s="43"/>
      <c r="D11" s="43"/>
      <c r="E11" s="43"/>
      <c r="F11" s="43"/>
    </row>
    <row r="12" spans="2:6" ht="45" customHeight="1" x14ac:dyDescent="0.4">
      <c r="B12" s="44" t="s">
        <v>19</v>
      </c>
      <c r="C12" s="44"/>
      <c r="D12" s="44"/>
      <c r="E12" s="44"/>
      <c r="F12" s="44"/>
    </row>
    <row r="14" spans="2:6" ht="15" customHeight="1" x14ac:dyDescent="0.4">
      <c r="B14" s="43" t="s">
        <v>20</v>
      </c>
      <c r="C14" s="43"/>
      <c r="D14" s="43"/>
      <c r="E14" s="43"/>
      <c r="F14" s="43"/>
    </row>
    <row r="15" spans="2:6" ht="15" customHeight="1" x14ac:dyDescent="0.4">
      <c r="B15" s="5" t="s">
        <v>21</v>
      </c>
      <c r="C15" s="45" t="s">
        <v>22</v>
      </c>
      <c r="D15" s="45"/>
      <c r="E15" s="45" t="s">
        <v>23</v>
      </c>
      <c r="F15" s="45"/>
    </row>
    <row r="16" spans="2:6" ht="15" customHeight="1" x14ac:dyDescent="0.4">
      <c r="B16" s="46" t="s">
        <v>24</v>
      </c>
      <c r="C16" s="46"/>
      <c r="D16" s="46"/>
      <c r="E16" s="46"/>
      <c r="F16" s="46"/>
    </row>
    <row r="17" spans="2:6" ht="33.75" customHeight="1" x14ac:dyDescent="0.4">
      <c r="B17" s="6" t="s">
        <v>25</v>
      </c>
      <c r="C17" s="47" t="s">
        <v>26</v>
      </c>
      <c r="D17" s="47"/>
      <c r="E17" s="48" t="s">
        <v>27</v>
      </c>
      <c r="F17" s="48"/>
    </row>
    <row r="18" spans="2:6" ht="33.75" customHeight="1" x14ac:dyDescent="0.4">
      <c r="B18" s="7" t="s">
        <v>28</v>
      </c>
      <c r="C18" s="49" t="s">
        <v>29</v>
      </c>
      <c r="D18" s="49"/>
      <c r="E18" s="50" t="s">
        <v>30</v>
      </c>
      <c r="F18" s="50"/>
    </row>
    <row r="19" spans="2:6" ht="33.75" customHeight="1" x14ac:dyDescent="0.4">
      <c r="B19" s="6" t="s">
        <v>31</v>
      </c>
      <c r="C19" s="47" t="s">
        <v>32</v>
      </c>
      <c r="D19" s="47"/>
      <c r="E19" s="48" t="s">
        <v>33</v>
      </c>
      <c r="F19" s="48"/>
    </row>
    <row r="20" spans="2:6" ht="33.75" customHeight="1" x14ac:dyDescent="0.4">
      <c r="B20" s="7" t="s">
        <v>34</v>
      </c>
      <c r="C20" s="49" t="s">
        <v>35</v>
      </c>
      <c r="D20" s="49"/>
      <c r="E20" s="50" t="s">
        <v>36</v>
      </c>
      <c r="F20" s="50"/>
    </row>
    <row r="21" spans="2:6" ht="33.75" customHeight="1" x14ac:dyDescent="0.4">
      <c r="B21" s="6" t="s">
        <v>37</v>
      </c>
      <c r="C21" s="47" t="s">
        <v>38</v>
      </c>
      <c r="D21" s="47"/>
      <c r="E21" s="48" t="s">
        <v>39</v>
      </c>
      <c r="F21" s="48"/>
    </row>
    <row r="22" spans="2:6" ht="33.75" customHeight="1" x14ac:dyDescent="0.4">
      <c r="B22" s="7" t="s">
        <v>40</v>
      </c>
      <c r="C22" s="49" t="s">
        <v>41</v>
      </c>
      <c r="D22" s="49"/>
      <c r="E22" s="50" t="s">
        <v>42</v>
      </c>
      <c r="F22" s="50"/>
    </row>
    <row r="23" spans="2:6" ht="33.75" customHeight="1" x14ac:dyDescent="0.4">
      <c r="B23" s="6" t="s">
        <v>43</v>
      </c>
      <c r="C23" s="47" t="s">
        <v>44</v>
      </c>
      <c r="D23" s="47"/>
      <c r="E23" s="48" t="s">
        <v>45</v>
      </c>
      <c r="F23" s="48"/>
    </row>
    <row r="24" spans="2:6" ht="33.75" customHeight="1" x14ac:dyDescent="0.4">
      <c r="B24" s="7" t="s">
        <v>46</v>
      </c>
      <c r="C24" s="49" t="s">
        <v>47</v>
      </c>
      <c r="D24" s="49"/>
      <c r="E24" s="50" t="s">
        <v>48</v>
      </c>
      <c r="F24" s="50"/>
    </row>
    <row r="25" spans="2:6" ht="33.75" customHeight="1" x14ac:dyDescent="0.4">
      <c r="B25" s="6" t="s">
        <v>49</v>
      </c>
      <c r="C25" s="47" t="s">
        <v>50</v>
      </c>
      <c r="D25" s="47"/>
      <c r="E25" s="48" t="s">
        <v>51</v>
      </c>
      <c r="F25" s="48"/>
    </row>
    <row r="26" spans="2:6" ht="15" customHeight="1" x14ac:dyDescent="0.4">
      <c r="B26" s="46" t="s">
        <v>6</v>
      </c>
      <c r="C26" s="46"/>
      <c r="D26" s="46"/>
      <c r="E26" s="46"/>
      <c r="F26" s="46"/>
    </row>
    <row r="27" spans="2:6" ht="33.75" customHeight="1" x14ac:dyDescent="0.4">
      <c r="B27" s="6" t="s">
        <v>52</v>
      </c>
      <c r="C27" s="47" t="s">
        <v>53</v>
      </c>
      <c r="D27" s="47"/>
      <c r="E27" s="48" t="s">
        <v>54</v>
      </c>
      <c r="F27" s="48"/>
    </row>
    <row r="28" spans="2:6" ht="33.75" customHeight="1" x14ac:dyDescent="0.4">
      <c r="B28" s="7" t="s">
        <v>55</v>
      </c>
      <c r="C28" s="49" t="s">
        <v>56</v>
      </c>
      <c r="D28" s="49"/>
      <c r="E28" s="50" t="s">
        <v>57</v>
      </c>
      <c r="F28" s="50"/>
    </row>
    <row r="29" spans="2:6" ht="33.75" customHeight="1" x14ac:dyDescent="0.4">
      <c r="B29" s="6" t="s">
        <v>58</v>
      </c>
      <c r="C29" s="47" t="s">
        <v>59</v>
      </c>
      <c r="D29" s="47"/>
      <c r="E29" s="48" t="s">
        <v>60</v>
      </c>
      <c r="F29" s="48"/>
    </row>
    <row r="30" spans="2:6" ht="33.75" customHeight="1" x14ac:dyDescent="0.4">
      <c r="B30" s="7" t="s">
        <v>61</v>
      </c>
      <c r="C30" s="49" t="s">
        <v>62</v>
      </c>
      <c r="D30" s="49"/>
      <c r="E30" s="50" t="s">
        <v>63</v>
      </c>
      <c r="F30" s="50"/>
    </row>
    <row r="31" spans="2:6" ht="33.75" customHeight="1" x14ac:dyDescent="0.4">
      <c r="B31" s="6" t="s">
        <v>64</v>
      </c>
      <c r="C31" s="47" t="s">
        <v>65</v>
      </c>
      <c r="D31" s="47"/>
      <c r="E31" s="48" t="s">
        <v>66</v>
      </c>
      <c r="F31" s="48"/>
    </row>
    <row r="32" spans="2:6" ht="33.75" customHeight="1" x14ac:dyDescent="0.4">
      <c r="B32" s="7" t="s">
        <v>67</v>
      </c>
      <c r="C32" s="49" t="s">
        <v>68</v>
      </c>
      <c r="D32" s="49"/>
      <c r="E32" s="50" t="s">
        <v>69</v>
      </c>
      <c r="F32" s="50"/>
    </row>
    <row r="33" spans="2:6" ht="33.75" customHeight="1" x14ac:dyDescent="0.4">
      <c r="B33" s="6" t="s">
        <v>70</v>
      </c>
      <c r="C33" s="47" t="s">
        <v>71</v>
      </c>
      <c r="D33" s="47"/>
      <c r="E33" s="48" t="s">
        <v>72</v>
      </c>
      <c r="F33" s="48"/>
    </row>
    <row r="34" spans="2:6" ht="33.75" customHeight="1" x14ac:dyDescent="0.4">
      <c r="B34" s="7" t="s">
        <v>73</v>
      </c>
      <c r="C34" s="49" t="s">
        <v>74</v>
      </c>
      <c r="D34" s="49"/>
      <c r="E34" s="50" t="s">
        <v>75</v>
      </c>
      <c r="F34" s="50"/>
    </row>
    <row r="35" spans="2:6" ht="33.75" customHeight="1" x14ac:dyDescent="0.4">
      <c r="B35" s="6" t="s">
        <v>76</v>
      </c>
      <c r="C35" s="47" t="s">
        <v>77</v>
      </c>
      <c r="D35" s="47"/>
      <c r="E35" s="48" t="s">
        <v>78</v>
      </c>
      <c r="F35" s="48"/>
    </row>
    <row r="36" spans="2:6" ht="15" customHeight="1" x14ac:dyDescent="0.4">
      <c r="B36" s="46" t="s">
        <v>12</v>
      </c>
      <c r="C36" s="46"/>
      <c r="D36" s="46"/>
      <c r="E36" s="46"/>
      <c r="F36" s="46"/>
    </row>
    <row r="37" spans="2:6" ht="33.75" customHeight="1" x14ac:dyDescent="0.4">
      <c r="B37" s="6" t="s">
        <v>79</v>
      </c>
      <c r="C37" s="47" t="s">
        <v>80</v>
      </c>
      <c r="D37" s="47"/>
      <c r="E37" s="48" t="s">
        <v>81</v>
      </c>
      <c r="F37" s="48"/>
    </row>
    <row r="38" spans="2:6" ht="33.75" customHeight="1" x14ac:dyDescent="0.4">
      <c r="B38" s="7" t="s">
        <v>82</v>
      </c>
      <c r="C38" s="49" t="s">
        <v>83</v>
      </c>
      <c r="D38" s="49"/>
      <c r="E38" s="50" t="s">
        <v>84</v>
      </c>
      <c r="F38" s="50"/>
    </row>
    <row r="39" spans="2:6" ht="33.75" customHeight="1" x14ac:dyDescent="0.4">
      <c r="B39" s="6" t="s">
        <v>85</v>
      </c>
      <c r="C39" s="47" t="s">
        <v>86</v>
      </c>
      <c r="D39" s="47"/>
      <c r="E39" s="48" t="s">
        <v>87</v>
      </c>
      <c r="F39" s="48"/>
    </row>
    <row r="40" spans="2:6" ht="33.75" customHeight="1" x14ac:dyDescent="0.4">
      <c r="B40" s="7" t="s">
        <v>88</v>
      </c>
      <c r="C40" s="49" t="s">
        <v>89</v>
      </c>
      <c r="D40" s="49"/>
      <c r="E40" s="50" t="s">
        <v>90</v>
      </c>
      <c r="F40" s="50"/>
    </row>
    <row r="41" spans="2:6" ht="33.75" customHeight="1" x14ac:dyDescent="0.4">
      <c r="B41" s="6" t="s">
        <v>91</v>
      </c>
      <c r="C41" s="47" t="s">
        <v>92</v>
      </c>
      <c r="D41" s="47"/>
      <c r="E41" s="48" t="s">
        <v>93</v>
      </c>
      <c r="F41" s="48"/>
    </row>
    <row r="42" spans="2:6" ht="33.75" customHeight="1" x14ac:dyDescent="0.4">
      <c r="B42" s="7" t="s">
        <v>94</v>
      </c>
      <c r="C42" s="49" t="s">
        <v>95</v>
      </c>
      <c r="D42" s="49"/>
      <c r="E42" s="50" t="s">
        <v>96</v>
      </c>
      <c r="F42" s="50"/>
    </row>
    <row r="43" spans="2:6" ht="15" customHeight="1" x14ac:dyDescent="0.4">
      <c r="B43" s="46" t="s">
        <v>97</v>
      </c>
      <c r="C43" s="46"/>
      <c r="D43" s="46"/>
      <c r="E43" s="46"/>
      <c r="F43" s="46"/>
    </row>
    <row r="44" spans="2:6" ht="33.75" customHeight="1" x14ac:dyDescent="0.4">
      <c r="B44" s="6" t="s">
        <v>98</v>
      </c>
      <c r="C44" s="47" t="s">
        <v>99</v>
      </c>
      <c r="D44" s="47"/>
      <c r="E44" s="48" t="s">
        <v>100</v>
      </c>
      <c r="F44" s="48"/>
    </row>
    <row r="45" spans="2:6" ht="33.75" customHeight="1" x14ac:dyDescent="0.4">
      <c r="B45" s="7" t="s">
        <v>101</v>
      </c>
      <c r="C45" s="49" t="s">
        <v>102</v>
      </c>
      <c r="D45" s="49"/>
      <c r="E45" s="50" t="s">
        <v>103</v>
      </c>
      <c r="F45" s="50"/>
    </row>
  </sheetData>
  <mergeCells count="75">
    <mergeCell ref="C45:D45"/>
    <mergeCell ref="E45:F45"/>
    <mergeCell ref="C42:D42"/>
    <mergeCell ref="E42:F42"/>
    <mergeCell ref="B43:F43"/>
    <mergeCell ref="C44:D44"/>
    <mergeCell ref="E44:F44"/>
    <mergeCell ref="C39:D39"/>
    <mergeCell ref="E39:F39"/>
    <mergeCell ref="C40:D40"/>
    <mergeCell ref="E40:F40"/>
    <mergeCell ref="C41:D41"/>
    <mergeCell ref="E41:F41"/>
    <mergeCell ref="B36:F36"/>
    <mergeCell ref="C37:D37"/>
    <mergeCell ref="E37:F37"/>
    <mergeCell ref="C38:D38"/>
    <mergeCell ref="E38:F38"/>
    <mergeCell ref="C33:D33"/>
    <mergeCell ref="E33:F33"/>
    <mergeCell ref="C34:D34"/>
    <mergeCell ref="E34:F34"/>
    <mergeCell ref="C35:D35"/>
    <mergeCell ref="E35:F35"/>
    <mergeCell ref="C30:D30"/>
    <mergeCell ref="E30:F30"/>
    <mergeCell ref="C31:D31"/>
    <mergeCell ref="E31:F31"/>
    <mergeCell ref="C32:D32"/>
    <mergeCell ref="E32:F32"/>
    <mergeCell ref="C27:D27"/>
    <mergeCell ref="E27:F27"/>
    <mergeCell ref="C28:D28"/>
    <mergeCell ref="E28:F28"/>
    <mergeCell ref="C29:D29"/>
    <mergeCell ref="E29:F29"/>
    <mergeCell ref="C24:D24"/>
    <mergeCell ref="E24:F24"/>
    <mergeCell ref="C25:D25"/>
    <mergeCell ref="E25:F25"/>
    <mergeCell ref="B26:F26"/>
    <mergeCell ref="C21:D21"/>
    <mergeCell ref="E21:F21"/>
    <mergeCell ref="C22:D22"/>
    <mergeCell ref="E22:F22"/>
    <mergeCell ref="C23:D23"/>
    <mergeCell ref="E23:F23"/>
    <mergeCell ref="C18:D18"/>
    <mergeCell ref="E18:F18"/>
    <mergeCell ref="C19:D19"/>
    <mergeCell ref="E19:F19"/>
    <mergeCell ref="C20:D20"/>
    <mergeCell ref="E20:F20"/>
    <mergeCell ref="C15:D15"/>
    <mergeCell ref="E15:F15"/>
    <mergeCell ref="B16:F16"/>
    <mergeCell ref="C17:D17"/>
    <mergeCell ref="E17:F17"/>
    <mergeCell ref="C9:D9"/>
    <mergeCell ref="E9:F9"/>
    <mergeCell ref="B11:F11"/>
    <mergeCell ref="B12:F12"/>
    <mergeCell ref="B14:F14"/>
    <mergeCell ref="C6:D6"/>
    <mergeCell ref="E6:F6"/>
    <mergeCell ref="C7:D7"/>
    <mergeCell ref="E7:F7"/>
    <mergeCell ref="C8:D8"/>
    <mergeCell ref="E8:F8"/>
    <mergeCell ref="B2:F2"/>
    <mergeCell ref="B4:B5"/>
    <mergeCell ref="C4:D4"/>
    <mergeCell ref="E4:F4"/>
    <mergeCell ref="C5:D5"/>
    <mergeCell ref="E5:F5"/>
  </mergeCells>
  <hyperlinks>
    <hyperlink ref="E17" r:id="rId1" xr:uid="{00000000-0004-0000-0000-000000000000}"/>
    <hyperlink ref="E18" r:id="rId2" xr:uid="{00000000-0004-0000-0000-000001000000}"/>
    <hyperlink ref="E19" r:id="rId3" xr:uid="{00000000-0004-0000-0000-000002000000}"/>
    <hyperlink ref="E20" r:id="rId4" xr:uid="{00000000-0004-0000-0000-000003000000}"/>
    <hyperlink ref="E21" r:id="rId5" xr:uid="{00000000-0004-0000-0000-000004000000}"/>
    <hyperlink ref="E22" r:id="rId6" xr:uid="{00000000-0004-0000-0000-000005000000}"/>
    <hyperlink ref="E23" r:id="rId7" xr:uid="{00000000-0004-0000-0000-000006000000}"/>
    <hyperlink ref="E24" r:id="rId8" xr:uid="{00000000-0004-0000-0000-000007000000}"/>
    <hyperlink ref="E25" r:id="rId9" xr:uid="{00000000-0004-0000-0000-000008000000}"/>
    <hyperlink ref="E27" r:id="rId10" xr:uid="{00000000-0004-0000-0000-000009000000}"/>
    <hyperlink ref="E28" r:id="rId11" xr:uid="{00000000-0004-0000-0000-00000A000000}"/>
    <hyperlink ref="E29" r:id="rId12" xr:uid="{00000000-0004-0000-0000-00000B000000}"/>
    <hyperlink ref="E30" r:id="rId13" xr:uid="{00000000-0004-0000-0000-00000C000000}"/>
    <hyperlink ref="E31" r:id="rId14" xr:uid="{00000000-0004-0000-0000-00000D000000}"/>
    <hyperlink ref="E32" r:id="rId15" xr:uid="{00000000-0004-0000-0000-00000E000000}"/>
    <hyperlink ref="E33" r:id="rId16" xr:uid="{00000000-0004-0000-0000-00000F000000}"/>
    <hyperlink ref="E34" r:id="rId17" xr:uid="{00000000-0004-0000-0000-000010000000}"/>
    <hyperlink ref="E35" r:id="rId18" xr:uid="{00000000-0004-0000-0000-000011000000}"/>
    <hyperlink ref="E37" r:id="rId19" xr:uid="{00000000-0004-0000-0000-000012000000}"/>
    <hyperlink ref="E38" r:id="rId20" xr:uid="{00000000-0004-0000-0000-000013000000}"/>
    <hyperlink ref="E39" r:id="rId21" xr:uid="{00000000-0004-0000-0000-000014000000}"/>
    <hyperlink ref="E40" r:id="rId22" xr:uid="{00000000-0004-0000-0000-000015000000}"/>
    <hyperlink ref="E41" r:id="rId23" xr:uid="{00000000-0004-0000-0000-000016000000}"/>
    <hyperlink ref="E42" r:id="rId24" xr:uid="{00000000-0004-0000-0000-000017000000}"/>
    <hyperlink ref="E44" r:id="rId25" xr:uid="{00000000-0004-0000-0000-000018000000}"/>
    <hyperlink ref="E45" r:id="rId26" xr:uid="{00000000-0004-0000-0000-000019000000}"/>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CD48"/>
  <sheetViews>
    <sheetView showGridLines="0" topLeftCell="H1" zoomScale="91" zoomScaleNormal="91" workbookViewId="0">
      <pane xSplit="19457" ySplit="1757" topLeftCell="BF1" activePane="bottomLeft"/>
      <selection pane="topRight" activeCell="I1" sqref="I1"/>
      <selection pane="bottomLeft" activeCell="D11" sqref="D11:D19"/>
      <selection pane="bottomRight" activeCell="BF5" sqref="BF5"/>
    </sheetView>
    <sheetView tabSelected="1" topLeftCell="BT2" workbookViewId="1">
      <selection activeCell="BR17" sqref="BR17:BR19"/>
    </sheetView>
  </sheetViews>
  <sheetFormatPr baseColWidth="10" defaultColWidth="8.69140625" defaultRowHeight="14.6" x14ac:dyDescent="0.4"/>
  <cols>
    <col min="1" max="1" width="2.4609375" customWidth="1"/>
    <col min="2" max="2" width="36" customWidth="1"/>
    <col min="3" max="3" width="25" customWidth="1"/>
    <col min="4" max="4" width="31" customWidth="1"/>
    <col min="5" max="5" width="29" customWidth="1"/>
    <col min="6" max="6" width="30" customWidth="1"/>
    <col min="7" max="7" width="27" customWidth="1"/>
    <col min="8" max="8" width="8" customWidth="1"/>
    <col min="9" max="68" width="2.4609375" customWidth="1"/>
    <col min="69" max="70" width="13" customWidth="1"/>
    <col min="71" max="71" width="24" customWidth="1"/>
    <col min="72" max="72" width="22" customWidth="1"/>
    <col min="73" max="80" width="5.4609375" customWidth="1"/>
    <col min="81" max="81" width="13" customWidth="1"/>
    <col min="82" max="82" width="14" customWidth="1"/>
  </cols>
  <sheetData>
    <row r="1" spans="2:82" ht="30" customHeight="1" x14ac:dyDescent="0.4">
      <c r="B1" s="35" t="s">
        <v>104</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row>
    <row r="2" spans="2:82" ht="23.8" customHeight="1" x14ac:dyDescent="0.4">
      <c r="B2" s="43" t="s">
        <v>105</v>
      </c>
      <c r="C2" s="43" t="s">
        <v>106</v>
      </c>
      <c r="D2" s="43" t="s">
        <v>107</v>
      </c>
      <c r="E2" s="43" t="s">
        <v>108</v>
      </c>
      <c r="F2" s="43" t="s">
        <v>109</v>
      </c>
      <c r="G2" s="43" t="s">
        <v>110</v>
      </c>
      <c r="H2" s="43"/>
      <c r="I2" s="43" t="s">
        <v>111</v>
      </c>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t="s">
        <v>112</v>
      </c>
      <c r="BR2" s="43"/>
      <c r="BS2" s="43" t="s">
        <v>113</v>
      </c>
      <c r="BT2" s="43"/>
      <c r="BU2" s="43" t="s">
        <v>114</v>
      </c>
      <c r="BV2" s="43"/>
      <c r="BW2" s="43"/>
      <c r="BX2" s="43"/>
      <c r="BY2" s="43"/>
      <c r="BZ2" s="43"/>
      <c r="CA2" s="43"/>
      <c r="CB2" s="43"/>
      <c r="CC2" s="43" t="s">
        <v>115</v>
      </c>
      <c r="CD2" s="43"/>
    </row>
    <row r="3" spans="2:82" ht="15" customHeight="1" x14ac:dyDescent="0.4">
      <c r="B3" s="43"/>
      <c r="C3" s="43"/>
      <c r="D3" s="43"/>
      <c r="E3" s="43"/>
      <c r="F3" s="43"/>
      <c r="G3" s="43"/>
      <c r="H3" s="43"/>
      <c r="I3" s="51">
        <v>2026</v>
      </c>
      <c r="J3" s="51"/>
      <c r="K3" s="51"/>
      <c r="L3" s="51"/>
      <c r="M3" s="51"/>
      <c r="N3" s="51"/>
      <c r="O3" s="51"/>
      <c r="P3" s="51"/>
      <c r="Q3" s="51"/>
      <c r="R3" s="51"/>
      <c r="S3" s="51"/>
      <c r="T3" s="51"/>
      <c r="U3" s="52">
        <v>2027</v>
      </c>
      <c r="V3" s="52"/>
      <c r="W3" s="52"/>
      <c r="X3" s="52"/>
      <c r="Y3" s="52"/>
      <c r="Z3" s="52"/>
      <c r="AA3" s="52"/>
      <c r="AB3" s="52"/>
      <c r="AC3" s="52"/>
      <c r="AD3" s="52"/>
      <c r="AE3" s="52"/>
      <c r="AF3" s="52"/>
      <c r="AG3" s="51">
        <v>2028</v>
      </c>
      <c r="AH3" s="51"/>
      <c r="AI3" s="51"/>
      <c r="AJ3" s="51"/>
      <c r="AK3" s="51"/>
      <c r="AL3" s="51"/>
      <c r="AM3" s="51"/>
      <c r="AN3" s="51"/>
      <c r="AO3" s="51"/>
      <c r="AP3" s="51"/>
      <c r="AQ3" s="51"/>
      <c r="AR3" s="51"/>
      <c r="AS3" s="52">
        <v>2029</v>
      </c>
      <c r="AT3" s="52"/>
      <c r="AU3" s="52"/>
      <c r="AV3" s="52"/>
      <c r="AW3" s="52"/>
      <c r="AX3" s="52"/>
      <c r="AY3" s="52"/>
      <c r="AZ3" s="52"/>
      <c r="BA3" s="52"/>
      <c r="BB3" s="52"/>
      <c r="BC3" s="52"/>
      <c r="BD3" s="52"/>
      <c r="BE3" s="51">
        <v>2030</v>
      </c>
      <c r="BF3" s="51"/>
      <c r="BG3" s="51"/>
      <c r="BH3" s="51"/>
      <c r="BI3" s="51"/>
      <c r="BJ3" s="51"/>
      <c r="BK3" s="51"/>
      <c r="BL3" s="51"/>
      <c r="BM3" s="51"/>
      <c r="BN3" s="51"/>
      <c r="BO3" s="51"/>
      <c r="BP3" s="51"/>
      <c r="BQ3" s="53" t="s">
        <v>116</v>
      </c>
      <c r="BR3" s="53" t="s">
        <v>117</v>
      </c>
      <c r="BS3" s="53" t="s">
        <v>116</v>
      </c>
      <c r="BT3" s="53" t="s">
        <v>117</v>
      </c>
      <c r="BU3" s="53" t="s">
        <v>116</v>
      </c>
      <c r="BV3" s="53"/>
      <c r="BW3" s="53"/>
      <c r="BX3" s="53"/>
      <c r="BY3" s="53" t="s">
        <v>117</v>
      </c>
      <c r="BZ3" s="53"/>
      <c r="CA3" s="53"/>
      <c r="CB3" s="53"/>
      <c r="CC3" s="53" t="s">
        <v>116</v>
      </c>
      <c r="CD3" s="53" t="s">
        <v>117</v>
      </c>
    </row>
    <row r="4" spans="2:82" x14ac:dyDescent="0.4">
      <c r="B4" s="43"/>
      <c r="C4" s="43"/>
      <c r="D4" s="43"/>
      <c r="E4" s="43"/>
      <c r="F4" s="43"/>
      <c r="G4" s="43"/>
      <c r="H4" s="43"/>
      <c r="I4" s="9" t="s">
        <v>118</v>
      </c>
      <c r="J4" s="9" t="s">
        <v>119</v>
      </c>
      <c r="K4" s="9" t="s">
        <v>120</v>
      </c>
      <c r="L4" s="9" t="s">
        <v>121</v>
      </c>
      <c r="M4" s="9" t="s">
        <v>120</v>
      </c>
      <c r="N4" s="9" t="s">
        <v>122</v>
      </c>
      <c r="O4" s="9" t="s">
        <v>122</v>
      </c>
      <c r="P4" s="9" t="s">
        <v>121</v>
      </c>
      <c r="Q4" s="9" t="s">
        <v>123</v>
      </c>
      <c r="R4" s="9" t="s">
        <v>124</v>
      </c>
      <c r="S4" s="9" t="s">
        <v>125</v>
      </c>
      <c r="T4" s="9" t="s">
        <v>126</v>
      </c>
      <c r="U4" s="9" t="s">
        <v>118</v>
      </c>
      <c r="V4" s="9" t="s">
        <v>119</v>
      </c>
      <c r="W4" s="9" t="s">
        <v>120</v>
      </c>
      <c r="X4" s="9" t="s">
        <v>121</v>
      </c>
      <c r="Y4" s="9" t="s">
        <v>120</v>
      </c>
      <c r="Z4" s="9" t="s">
        <v>122</v>
      </c>
      <c r="AA4" s="9" t="s">
        <v>122</v>
      </c>
      <c r="AB4" s="9" t="s">
        <v>121</v>
      </c>
      <c r="AC4" s="9" t="s">
        <v>123</v>
      </c>
      <c r="AD4" s="9" t="s">
        <v>124</v>
      </c>
      <c r="AE4" s="9" t="s">
        <v>125</v>
      </c>
      <c r="AF4" s="9" t="s">
        <v>126</v>
      </c>
      <c r="AG4" s="9" t="s">
        <v>118</v>
      </c>
      <c r="AH4" s="9" t="s">
        <v>119</v>
      </c>
      <c r="AI4" s="9" t="s">
        <v>120</v>
      </c>
      <c r="AJ4" s="9" t="s">
        <v>121</v>
      </c>
      <c r="AK4" s="9" t="s">
        <v>120</v>
      </c>
      <c r="AL4" s="9" t="s">
        <v>122</v>
      </c>
      <c r="AM4" s="9" t="s">
        <v>122</v>
      </c>
      <c r="AN4" s="9" t="s">
        <v>121</v>
      </c>
      <c r="AO4" s="9" t="s">
        <v>123</v>
      </c>
      <c r="AP4" s="9" t="s">
        <v>124</v>
      </c>
      <c r="AQ4" s="9" t="s">
        <v>125</v>
      </c>
      <c r="AR4" s="9" t="s">
        <v>126</v>
      </c>
      <c r="AS4" s="9" t="s">
        <v>118</v>
      </c>
      <c r="AT4" s="9" t="s">
        <v>119</v>
      </c>
      <c r="AU4" s="9" t="s">
        <v>120</v>
      </c>
      <c r="AV4" s="9" t="s">
        <v>121</v>
      </c>
      <c r="AW4" s="9" t="s">
        <v>120</v>
      </c>
      <c r="AX4" s="9" t="s">
        <v>122</v>
      </c>
      <c r="AY4" s="9" t="s">
        <v>122</v>
      </c>
      <c r="AZ4" s="9" t="s">
        <v>121</v>
      </c>
      <c r="BA4" s="9" t="s">
        <v>123</v>
      </c>
      <c r="BB4" s="9" t="s">
        <v>124</v>
      </c>
      <c r="BC4" s="9" t="s">
        <v>125</v>
      </c>
      <c r="BD4" s="9" t="s">
        <v>126</v>
      </c>
      <c r="BE4" s="9" t="s">
        <v>118</v>
      </c>
      <c r="BF4" s="9" t="s">
        <v>119</v>
      </c>
      <c r="BG4" s="9" t="s">
        <v>120</v>
      </c>
      <c r="BH4" s="9" t="s">
        <v>121</v>
      </c>
      <c r="BI4" s="9" t="s">
        <v>120</v>
      </c>
      <c r="BJ4" s="9" t="s">
        <v>122</v>
      </c>
      <c r="BK4" s="9" t="s">
        <v>122</v>
      </c>
      <c r="BL4" s="9" t="s">
        <v>121</v>
      </c>
      <c r="BM4" s="9" t="s">
        <v>123</v>
      </c>
      <c r="BN4" s="9" t="s">
        <v>124</v>
      </c>
      <c r="BO4" s="9" t="s">
        <v>125</v>
      </c>
      <c r="BP4" s="9" t="s">
        <v>126</v>
      </c>
      <c r="BQ4" s="53"/>
      <c r="BR4" s="53"/>
      <c r="BS4" s="53"/>
      <c r="BT4" s="53"/>
      <c r="BU4" s="53"/>
      <c r="BV4" s="53"/>
      <c r="BW4" s="53"/>
      <c r="BX4" s="53"/>
      <c r="BY4" s="53"/>
      <c r="BZ4" s="53"/>
      <c r="CA4" s="53"/>
      <c r="CB4" s="53"/>
      <c r="CC4" s="53"/>
      <c r="CD4" s="53"/>
    </row>
    <row r="5" spans="2:82" ht="30" customHeight="1" x14ac:dyDescent="0.4">
      <c r="B5" s="8" t="s">
        <v>127</v>
      </c>
      <c r="C5" s="54" t="s">
        <v>128</v>
      </c>
      <c r="D5" s="55" t="s">
        <v>129</v>
      </c>
      <c r="E5" s="49" t="s">
        <v>130</v>
      </c>
      <c r="F5" s="49" t="s">
        <v>131</v>
      </c>
      <c r="G5" s="47" t="s">
        <v>132</v>
      </c>
      <c r="H5" s="47"/>
      <c r="I5" s="10"/>
      <c r="J5" s="11"/>
      <c r="K5" s="11"/>
      <c r="L5" s="12"/>
      <c r="M5" s="12"/>
      <c r="N5" s="12"/>
      <c r="O5" s="12"/>
      <c r="P5" s="12"/>
      <c r="Q5" s="12"/>
      <c r="R5" s="12"/>
      <c r="S5" s="12"/>
      <c r="T5" s="12"/>
      <c r="U5" s="10"/>
      <c r="V5" s="12"/>
      <c r="W5" s="12"/>
      <c r="X5" s="12"/>
      <c r="Y5" s="12"/>
      <c r="Z5" s="12"/>
      <c r="AA5" s="11"/>
      <c r="AB5" s="12"/>
      <c r="AC5" s="12"/>
      <c r="AD5" s="12"/>
      <c r="AE5" s="12"/>
      <c r="AF5" s="12"/>
      <c r="AG5" s="10"/>
      <c r="AH5" s="12"/>
      <c r="AI5" s="12"/>
      <c r="AJ5" s="12"/>
      <c r="AK5" s="12"/>
      <c r="AL5" s="12"/>
      <c r="AM5" s="11"/>
      <c r="AN5" s="12"/>
      <c r="AO5" s="12"/>
      <c r="AP5" s="12"/>
      <c r="AQ5" s="12"/>
      <c r="AR5" s="12"/>
      <c r="AS5" s="10"/>
      <c r="AT5" s="12"/>
      <c r="AU5" s="12"/>
      <c r="AV5" s="12"/>
      <c r="AW5" s="12"/>
      <c r="AX5" s="12"/>
      <c r="AY5" s="11"/>
      <c r="AZ5" s="12"/>
      <c r="BA5" s="12"/>
      <c r="BB5" s="12"/>
      <c r="BC5" s="12"/>
      <c r="BD5" s="12"/>
      <c r="BE5" s="10"/>
      <c r="BF5" s="12"/>
      <c r="BG5" s="12"/>
      <c r="BH5" s="12"/>
      <c r="BI5" s="12"/>
      <c r="BJ5" s="12"/>
      <c r="BK5" s="11"/>
      <c r="BL5" s="12"/>
      <c r="BM5" s="12"/>
      <c r="BN5" s="12"/>
      <c r="BO5" s="12"/>
      <c r="BP5" s="12"/>
      <c r="BQ5" s="56" t="s">
        <v>133</v>
      </c>
      <c r="BR5" s="56" t="s">
        <v>133</v>
      </c>
      <c r="BS5" s="57" t="s">
        <v>134</v>
      </c>
      <c r="BT5" s="57" t="s">
        <v>134</v>
      </c>
      <c r="BU5" s="58" t="s">
        <v>135</v>
      </c>
      <c r="BV5" s="58"/>
      <c r="BW5" s="58"/>
      <c r="BX5" s="58"/>
      <c r="BY5" s="58" t="s">
        <v>135</v>
      </c>
      <c r="BZ5" s="58"/>
      <c r="CA5" s="58"/>
      <c r="CB5" s="58"/>
      <c r="CC5" s="59">
        <f>60*15+8*250+48*25+1*800</f>
        <v>4900</v>
      </c>
      <c r="CD5" s="59">
        <f>(60*15+8*250+48*25+1*800)+(30*15+2*250+48*25)*1.02^1+(30*15+2*250+48*25+1*800)*1.02^2+(30*15+2*250+48*25)*1.02^3+(30*15+2*250+48*25+1*800)*1.02^4</f>
        <v>15636.952072</v>
      </c>
    </row>
    <row r="6" spans="2:82" ht="30" customHeight="1" x14ac:dyDescent="0.4">
      <c r="B6" s="60" t="s">
        <v>136</v>
      </c>
      <c r="C6" s="54"/>
      <c r="D6" s="55"/>
      <c r="E6" s="55"/>
      <c r="F6" s="55"/>
      <c r="G6" s="47" t="s">
        <v>137</v>
      </c>
      <c r="H6" s="47"/>
      <c r="I6" s="13"/>
      <c r="J6" s="11"/>
      <c r="K6" s="11"/>
      <c r="L6" s="11"/>
      <c r="M6" s="11"/>
      <c r="N6" s="11"/>
      <c r="O6" s="11"/>
      <c r="P6" s="11"/>
      <c r="Q6" s="12"/>
      <c r="R6" s="12"/>
      <c r="S6" s="12"/>
      <c r="T6" s="12"/>
      <c r="U6" s="13"/>
      <c r="V6" s="11"/>
      <c r="W6" s="12"/>
      <c r="X6" s="12"/>
      <c r="Y6" s="12"/>
      <c r="Z6" s="12"/>
      <c r="AA6" s="12"/>
      <c r="AB6" s="11"/>
      <c r="AC6" s="12"/>
      <c r="AD6" s="12"/>
      <c r="AE6" s="12"/>
      <c r="AF6" s="12"/>
      <c r="AG6" s="13"/>
      <c r="AH6" s="11"/>
      <c r="AI6" s="12"/>
      <c r="AJ6" s="12"/>
      <c r="AK6" s="12"/>
      <c r="AL6" s="12"/>
      <c r="AM6" s="12"/>
      <c r="AN6" s="11"/>
      <c r="AO6" s="12"/>
      <c r="AP6" s="12"/>
      <c r="AQ6" s="12"/>
      <c r="AR6" s="12"/>
      <c r="AS6" s="13"/>
      <c r="AT6" s="11"/>
      <c r="AU6" s="12"/>
      <c r="AV6" s="12"/>
      <c r="AW6" s="12"/>
      <c r="AX6" s="12"/>
      <c r="AY6" s="12"/>
      <c r="AZ6" s="11"/>
      <c r="BA6" s="12"/>
      <c r="BB6" s="12"/>
      <c r="BC6" s="12"/>
      <c r="BD6" s="12"/>
      <c r="BE6" s="13"/>
      <c r="BF6" s="11"/>
      <c r="BG6" s="12"/>
      <c r="BH6" s="12"/>
      <c r="BI6" s="12"/>
      <c r="BJ6" s="12"/>
      <c r="BK6" s="12"/>
      <c r="BL6" s="11"/>
      <c r="BM6" s="12"/>
      <c r="BN6" s="12"/>
      <c r="BO6" s="12"/>
      <c r="BP6" s="12"/>
      <c r="BQ6" s="56"/>
      <c r="BR6" s="56"/>
      <c r="BS6" s="57"/>
      <c r="BT6" s="57"/>
      <c r="BU6" s="61" t="s">
        <v>138</v>
      </c>
      <c r="BV6" s="61"/>
      <c r="BW6" s="61"/>
      <c r="BX6" s="61"/>
      <c r="BY6" s="61" t="s">
        <v>138</v>
      </c>
      <c r="BZ6" s="61"/>
      <c r="CA6" s="61"/>
      <c r="CB6" s="61"/>
      <c r="CC6" s="59"/>
      <c r="CD6" s="59"/>
    </row>
    <row r="7" spans="2:82" ht="30" customHeight="1" x14ac:dyDescent="0.4">
      <c r="B7" s="60"/>
      <c r="C7" s="54"/>
      <c r="D7" s="55"/>
      <c r="E7" s="55"/>
      <c r="F7" s="55"/>
      <c r="G7" s="47" t="s">
        <v>139</v>
      </c>
      <c r="H7" s="47"/>
      <c r="I7" s="13"/>
      <c r="J7" s="12"/>
      <c r="K7" s="11"/>
      <c r="L7" s="11"/>
      <c r="M7" s="11"/>
      <c r="N7" s="11"/>
      <c r="O7" s="11"/>
      <c r="P7" s="11"/>
      <c r="Q7" s="11"/>
      <c r="R7" s="11"/>
      <c r="S7" s="11"/>
      <c r="T7" s="11"/>
      <c r="U7" s="10"/>
      <c r="V7" s="11"/>
      <c r="W7" s="11"/>
      <c r="X7" s="11"/>
      <c r="Y7" s="11"/>
      <c r="Z7" s="11"/>
      <c r="AA7" s="11"/>
      <c r="AB7" s="11"/>
      <c r="AC7" s="11"/>
      <c r="AD7" s="11"/>
      <c r="AE7" s="11"/>
      <c r="AF7" s="11"/>
      <c r="AG7" s="10"/>
      <c r="AH7" s="11"/>
      <c r="AI7" s="11"/>
      <c r="AJ7" s="11"/>
      <c r="AK7" s="11"/>
      <c r="AL7" s="11"/>
      <c r="AM7" s="11"/>
      <c r="AN7" s="11"/>
      <c r="AO7" s="11"/>
      <c r="AP7" s="11"/>
      <c r="AQ7" s="11"/>
      <c r="AR7" s="11"/>
      <c r="AS7" s="10"/>
      <c r="AT7" s="11"/>
      <c r="AU7" s="11"/>
      <c r="AV7" s="11"/>
      <c r="AW7" s="11"/>
      <c r="AX7" s="11"/>
      <c r="AY7" s="11"/>
      <c r="AZ7" s="11"/>
      <c r="BA7" s="11"/>
      <c r="BB7" s="11"/>
      <c r="BC7" s="11"/>
      <c r="BD7" s="11"/>
      <c r="BE7" s="10"/>
      <c r="BF7" s="11"/>
      <c r="BG7" s="11"/>
      <c r="BH7" s="11"/>
      <c r="BI7" s="11"/>
      <c r="BJ7" s="11"/>
      <c r="BK7" s="11"/>
      <c r="BL7" s="11"/>
      <c r="BM7" s="11"/>
      <c r="BN7" s="11"/>
      <c r="BO7" s="11"/>
      <c r="BP7" s="11"/>
      <c r="BQ7" s="56"/>
      <c r="BR7" s="56"/>
      <c r="BS7" s="57"/>
      <c r="BT7" s="57"/>
      <c r="BU7" s="62" t="s">
        <v>140</v>
      </c>
      <c r="BV7" s="62"/>
      <c r="BW7" s="62"/>
      <c r="BX7" s="62"/>
      <c r="BY7" s="62" t="s">
        <v>140</v>
      </c>
      <c r="BZ7" s="62"/>
      <c r="CA7" s="62"/>
      <c r="CB7" s="62"/>
      <c r="CC7" s="59"/>
      <c r="CD7" s="59"/>
    </row>
    <row r="8" spans="2:82" ht="30" customHeight="1" x14ac:dyDescent="0.4">
      <c r="B8" s="60"/>
      <c r="C8" s="54"/>
      <c r="D8" s="55"/>
      <c r="E8" s="55"/>
      <c r="F8" s="49" t="s">
        <v>141</v>
      </c>
      <c r="G8" s="47" t="s">
        <v>142</v>
      </c>
      <c r="H8" s="47"/>
      <c r="I8" s="13"/>
      <c r="J8" s="12"/>
      <c r="K8" s="12"/>
      <c r="L8" s="12"/>
      <c r="M8" s="12"/>
      <c r="N8" s="12"/>
      <c r="O8" s="12"/>
      <c r="P8" s="12"/>
      <c r="Q8" s="12"/>
      <c r="R8" s="12"/>
      <c r="S8" s="12"/>
      <c r="T8" s="12"/>
      <c r="U8" s="10"/>
      <c r="V8" s="11"/>
      <c r="W8" s="12"/>
      <c r="X8" s="12"/>
      <c r="Y8" s="12"/>
      <c r="Z8" s="12"/>
      <c r="AA8" s="12"/>
      <c r="AB8" s="12"/>
      <c r="AC8" s="12"/>
      <c r="AD8" s="12"/>
      <c r="AE8" s="12"/>
      <c r="AF8" s="12"/>
      <c r="AG8" s="13"/>
      <c r="AH8" s="12"/>
      <c r="AI8" s="12"/>
      <c r="AJ8" s="12"/>
      <c r="AK8" s="12"/>
      <c r="AL8" s="12"/>
      <c r="AM8" s="12"/>
      <c r="AN8" s="12"/>
      <c r="AO8" s="12"/>
      <c r="AP8" s="12"/>
      <c r="AQ8" s="12"/>
      <c r="AR8" s="12"/>
      <c r="AS8" s="13"/>
      <c r="AT8" s="12"/>
      <c r="AU8" s="12"/>
      <c r="AV8" s="12"/>
      <c r="AW8" s="12"/>
      <c r="AX8" s="12"/>
      <c r="AY8" s="12"/>
      <c r="AZ8" s="12"/>
      <c r="BA8" s="12"/>
      <c r="BB8" s="12"/>
      <c r="BC8" s="12"/>
      <c r="BD8" s="12"/>
      <c r="BE8" s="13"/>
      <c r="BF8" s="12"/>
      <c r="BG8" s="12"/>
      <c r="BH8" s="12"/>
      <c r="BI8" s="12"/>
      <c r="BJ8" s="12"/>
      <c r="BK8" s="12"/>
      <c r="BL8" s="12"/>
      <c r="BM8" s="12"/>
      <c r="BN8" s="12"/>
      <c r="BO8" s="12"/>
      <c r="BP8" s="12"/>
      <c r="BQ8" s="56" t="s">
        <v>143</v>
      </c>
      <c r="BR8" s="56" t="s">
        <v>144</v>
      </c>
      <c r="BS8" s="57" t="s">
        <v>145</v>
      </c>
      <c r="BT8" s="57" t="s">
        <v>146</v>
      </c>
      <c r="BU8" s="53" t="s">
        <v>145</v>
      </c>
      <c r="BV8" s="53"/>
      <c r="BW8" s="53"/>
      <c r="BX8" s="53"/>
      <c r="BY8" s="58" t="s">
        <v>147</v>
      </c>
      <c r="BZ8" s="58"/>
      <c r="CA8" s="58"/>
      <c r="CB8" s="58"/>
      <c r="CC8" s="59">
        <v>0</v>
      </c>
      <c r="CD8" s="59">
        <f>(3*450+40*15+8*250+1*50)*1.02^1+(2*450+20*15+12*250+1*50)*1.02^2+(2*450+20*15+12*250+1*50)*1.02^3+(2*450+20*15+12*250+1*50)*1.02^4</f>
        <v>17612.170680000003</v>
      </c>
    </row>
    <row r="9" spans="2:82" ht="30" customHeight="1" x14ac:dyDescent="0.4">
      <c r="B9" s="60"/>
      <c r="C9" s="54"/>
      <c r="D9" s="55"/>
      <c r="E9" s="55"/>
      <c r="F9" s="55"/>
      <c r="G9" s="47" t="s">
        <v>148</v>
      </c>
      <c r="H9" s="47"/>
      <c r="I9" s="13"/>
      <c r="J9" s="12"/>
      <c r="K9" s="12"/>
      <c r="L9" s="12"/>
      <c r="M9" s="12"/>
      <c r="N9" s="12"/>
      <c r="O9" s="12"/>
      <c r="P9" s="12"/>
      <c r="Q9" s="12"/>
      <c r="R9" s="12"/>
      <c r="S9" s="12"/>
      <c r="T9" s="12"/>
      <c r="U9" s="13"/>
      <c r="V9" s="12"/>
      <c r="W9" s="11"/>
      <c r="X9" s="11"/>
      <c r="Y9" s="11"/>
      <c r="Z9" s="11"/>
      <c r="AA9" s="12"/>
      <c r="AB9" s="12"/>
      <c r="AC9" s="12"/>
      <c r="AD9" s="12"/>
      <c r="AE9" s="12"/>
      <c r="AF9" s="12"/>
      <c r="AG9" s="13"/>
      <c r="AH9" s="12"/>
      <c r="AI9" s="12"/>
      <c r="AJ9" s="12"/>
      <c r="AK9" s="12"/>
      <c r="AL9" s="11"/>
      <c r="AM9" s="12"/>
      <c r="AN9" s="12"/>
      <c r="AO9" s="12"/>
      <c r="AP9" s="12"/>
      <c r="AQ9" s="12"/>
      <c r="AR9" s="12"/>
      <c r="AS9" s="13"/>
      <c r="AT9" s="12"/>
      <c r="AU9" s="12"/>
      <c r="AV9" s="12"/>
      <c r="AW9" s="12"/>
      <c r="AX9" s="11"/>
      <c r="AY9" s="12"/>
      <c r="AZ9" s="12"/>
      <c r="BA9" s="12"/>
      <c r="BB9" s="12"/>
      <c r="BC9" s="12"/>
      <c r="BD9" s="12"/>
      <c r="BE9" s="13"/>
      <c r="BF9" s="12"/>
      <c r="BG9" s="12"/>
      <c r="BH9" s="12"/>
      <c r="BI9" s="12"/>
      <c r="BJ9" s="11"/>
      <c r="BK9" s="12"/>
      <c r="BL9" s="12"/>
      <c r="BM9" s="12"/>
      <c r="BN9" s="12"/>
      <c r="BO9" s="12"/>
      <c r="BP9" s="12"/>
      <c r="BQ9" s="56"/>
      <c r="BR9" s="56"/>
      <c r="BS9" s="57"/>
      <c r="BT9" s="57"/>
      <c r="BU9" s="63" t="s">
        <v>149</v>
      </c>
      <c r="BV9" s="63"/>
      <c r="BW9" s="63"/>
      <c r="BX9" s="63"/>
      <c r="BY9" s="61" t="s">
        <v>150</v>
      </c>
      <c r="BZ9" s="61"/>
      <c r="CA9" s="61"/>
      <c r="CB9" s="61"/>
      <c r="CC9" s="59"/>
      <c r="CD9" s="59"/>
    </row>
    <row r="10" spans="2:82" ht="30" customHeight="1" x14ac:dyDescent="0.4">
      <c r="B10" s="60"/>
      <c r="C10" s="54"/>
      <c r="D10" s="55"/>
      <c r="E10" s="55"/>
      <c r="F10" s="55"/>
      <c r="G10" s="47" t="s">
        <v>151</v>
      </c>
      <c r="H10" s="47"/>
      <c r="I10" s="13"/>
      <c r="J10" s="12"/>
      <c r="K10" s="12"/>
      <c r="L10" s="12"/>
      <c r="M10" s="12"/>
      <c r="N10" s="12"/>
      <c r="O10" s="12"/>
      <c r="P10" s="12"/>
      <c r="Q10" s="12"/>
      <c r="R10" s="12"/>
      <c r="S10" s="12"/>
      <c r="T10" s="12"/>
      <c r="U10" s="13"/>
      <c r="V10" s="12"/>
      <c r="W10" s="12"/>
      <c r="X10" s="12"/>
      <c r="Y10" s="11"/>
      <c r="Z10" s="11"/>
      <c r="AA10" s="11"/>
      <c r="AB10" s="11"/>
      <c r="AC10" s="11"/>
      <c r="AD10" s="11"/>
      <c r="AE10" s="11"/>
      <c r="AF10" s="11"/>
      <c r="AG10" s="10"/>
      <c r="AH10" s="11"/>
      <c r="AI10" s="11"/>
      <c r="AJ10" s="11"/>
      <c r="AK10" s="11"/>
      <c r="AL10" s="11"/>
      <c r="AM10" s="11"/>
      <c r="AN10" s="11"/>
      <c r="AO10" s="11"/>
      <c r="AP10" s="11"/>
      <c r="AQ10" s="11"/>
      <c r="AR10" s="11"/>
      <c r="AS10" s="10"/>
      <c r="AT10" s="11"/>
      <c r="AU10" s="11"/>
      <c r="AV10" s="11"/>
      <c r="AW10" s="11"/>
      <c r="AX10" s="11"/>
      <c r="AY10" s="11"/>
      <c r="AZ10" s="11"/>
      <c r="BA10" s="11"/>
      <c r="BB10" s="11"/>
      <c r="BC10" s="11"/>
      <c r="BD10" s="11"/>
      <c r="BE10" s="10"/>
      <c r="BF10" s="11"/>
      <c r="BG10" s="11"/>
      <c r="BH10" s="11"/>
      <c r="BI10" s="11"/>
      <c r="BJ10" s="11"/>
      <c r="BK10" s="11"/>
      <c r="BL10" s="11"/>
      <c r="BM10" s="11"/>
      <c r="BN10" s="11"/>
      <c r="BO10" s="11"/>
      <c r="BP10" s="11"/>
      <c r="BQ10" s="56"/>
      <c r="BR10" s="56"/>
      <c r="BS10" s="57"/>
      <c r="BT10" s="57"/>
      <c r="BU10" s="63" t="s">
        <v>149</v>
      </c>
      <c r="BV10" s="63"/>
      <c r="BW10" s="63"/>
      <c r="BX10" s="63"/>
      <c r="BY10" s="62" t="s">
        <v>152</v>
      </c>
      <c r="BZ10" s="62"/>
      <c r="CA10" s="62"/>
      <c r="CB10" s="62"/>
      <c r="CC10" s="59"/>
      <c r="CD10" s="59"/>
    </row>
    <row r="11" spans="2:82" ht="30" customHeight="1" x14ac:dyDescent="0.4">
      <c r="B11" s="60"/>
      <c r="C11" s="54"/>
      <c r="D11" s="64" t="s">
        <v>153</v>
      </c>
      <c r="E11" s="47" t="s">
        <v>154</v>
      </c>
      <c r="F11" s="47" t="s">
        <v>155</v>
      </c>
      <c r="G11" s="47" t="s">
        <v>156</v>
      </c>
      <c r="H11" s="47"/>
      <c r="I11" s="10"/>
      <c r="J11" s="12"/>
      <c r="K11" s="12"/>
      <c r="L11" s="12"/>
      <c r="M11" s="12"/>
      <c r="N11" s="12"/>
      <c r="O11" s="12"/>
      <c r="P11" s="12"/>
      <c r="Q11" s="12"/>
      <c r="R11" s="12"/>
      <c r="S11" s="12"/>
      <c r="T11" s="12"/>
      <c r="U11" s="10"/>
      <c r="V11" s="12"/>
      <c r="W11" s="12"/>
      <c r="X11" s="12"/>
      <c r="Y11" s="12"/>
      <c r="Z11" s="12"/>
      <c r="AA11" s="12"/>
      <c r="AB11" s="12"/>
      <c r="AC11" s="12"/>
      <c r="AD11" s="12"/>
      <c r="AE11" s="12"/>
      <c r="AF11" s="12"/>
      <c r="AG11" s="10"/>
      <c r="AH11" s="12"/>
      <c r="AI11" s="12"/>
      <c r="AJ11" s="12"/>
      <c r="AK11" s="12"/>
      <c r="AL11" s="12"/>
      <c r="AM11" s="12"/>
      <c r="AN11" s="12"/>
      <c r="AO11" s="12"/>
      <c r="AP11" s="12"/>
      <c r="AQ11" s="12"/>
      <c r="AR11" s="12"/>
      <c r="AS11" s="10"/>
      <c r="AT11" s="12"/>
      <c r="AU11" s="12"/>
      <c r="AV11" s="12"/>
      <c r="AW11" s="12"/>
      <c r="AX11" s="12"/>
      <c r="AY11" s="12"/>
      <c r="AZ11" s="12"/>
      <c r="BA11" s="12"/>
      <c r="BB11" s="12"/>
      <c r="BC11" s="12"/>
      <c r="BD11" s="12"/>
      <c r="BE11" s="10"/>
      <c r="BF11" s="12"/>
      <c r="BG11" s="12"/>
      <c r="BH11" s="12"/>
      <c r="BI11" s="12"/>
      <c r="BJ11" s="12"/>
      <c r="BK11" s="12"/>
      <c r="BL11" s="12"/>
      <c r="BM11" s="12"/>
      <c r="BN11" s="12"/>
      <c r="BO11" s="12"/>
      <c r="BP11" s="12"/>
      <c r="BQ11" s="56" t="s">
        <v>157</v>
      </c>
      <c r="BR11" s="56" t="s">
        <v>158</v>
      </c>
      <c r="BS11" s="57" t="s">
        <v>159</v>
      </c>
      <c r="BT11" s="57" t="s">
        <v>160</v>
      </c>
      <c r="BU11" s="58" t="s">
        <v>161</v>
      </c>
      <c r="BV11" s="58"/>
      <c r="BW11" s="58"/>
      <c r="BX11" s="58"/>
      <c r="BY11" s="58" t="s">
        <v>162</v>
      </c>
      <c r="BZ11" s="58"/>
      <c r="CA11" s="58"/>
      <c r="CB11" s="58"/>
      <c r="CC11" s="59">
        <f>6*400+6*250+6*300</f>
        <v>5700</v>
      </c>
      <c r="CD11" s="59">
        <f>(6*400+6*250+6*300)+(4*400+4*250+4*300)*1.02^1+(4*400+4*250+4*300)*1.02^2+(4*400+4*250+4*300)*1.02^3+(4*400+4*250+4*300)*1.02^4</f>
        <v>21675.352608000001</v>
      </c>
    </row>
    <row r="12" spans="2:82" ht="30" customHeight="1" x14ac:dyDescent="0.4">
      <c r="B12" s="60"/>
      <c r="C12" s="54"/>
      <c r="D12" s="64"/>
      <c r="E12" s="64"/>
      <c r="F12" s="64"/>
      <c r="G12" s="47" t="s">
        <v>163</v>
      </c>
      <c r="H12" s="47"/>
      <c r="I12" s="10"/>
      <c r="J12" s="11"/>
      <c r="K12" s="11"/>
      <c r="L12" s="11"/>
      <c r="M12" s="11"/>
      <c r="N12" s="11"/>
      <c r="O12" s="12"/>
      <c r="P12" s="12"/>
      <c r="Q12" s="12"/>
      <c r="R12" s="12"/>
      <c r="S12" s="12"/>
      <c r="T12" s="12"/>
      <c r="U12" s="13"/>
      <c r="V12" s="11"/>
      <c r="W12" s="12"/>
      <c r="X12" s="12"/>
      <c r="Y12" s="11"/>
      <c r="Z12" s="12"/>
      <c r="AA12" s="12"/>
      <c r="AB12" s="11"/>
      <c r="AC12" s="12"/>
      <c r="AD12" s="12"/>
      <c r="AE12" s="11"/>
      <c r="AF12" s="12"/>
      <c r="AG12" s="13"/>
      <c r="AH12" s="11"/>
      <c r="AI12" s="12"/>
      <c r="AJ12" s="12"/>
      <c r="AK12" s="11"/>
      <c r="AL12" s="12"/>
      <c r="AM12" s="12"/>
      <c r="AN12" s="11"/>
      <c r="AO12" s="12"/>
      <c r="AP12" s="12"/>
      <c r="AQ12" s="11"/>
      <c r="AR12" s="12"/>
      <c r="AS12" s="13"/>
      <c r="AT12" s="11"/>
      <c r="AU12" s="12"/>
      <c r="AV12" s="12"/>
      <c r="AW12" s="11"/>
      <c r="AX12" s="12"/>
      <c r="AY12" s="12"/>
      <c r="AZ12" s="11"/>
      <c r="BA12" s="12"/>
      <c r="BB12" s="12"/>
      <c r="BC12" s="11"/>
      <c r="BD12" s="12"/>
      <c r="BE12" s="13"/>
      <c r="BF12" s="11"/>
      <c r="BG12" s="12"/>
      <c r="BH12" s="12"/>
      <c r="BI12" s="11"/>
      <c r="BJ12" s="12"/>
      <c r="BK12" s="12"/>
      <c r="BL12" s="11"/>
      <c r="BM12" s="12"/>
      <c r="BN12" s="12"/>
      <c r="BO12" s="11"/>
      <c r="BP12" s="12"/>
      <c r="BQ12" s="56"/>
      <c r="BR12" s="56"/>
      <c r="BS12" s="57"/>
      <c r="BT12" s="57"/>
      <c r="BU12" s="61" t="s">
        <v>164</v>
      </c>
      <c r="BV12" s="61"/>
      <c r="BW12" s="61"/>
      <c r="BX12" s="61"/>
      <c r="BY12" s="61" t="s">
        <v>165</v>
      </c>
      <c r="BZ12" s="61"/>
      <c r="CA12" s="61"/>
      <c r="CB12" s="61"/>
      <c r="CC12" s="59"/>
      <c r="CD12" s="59"/>
    </row>
    <row r="13" spans="2:82" ht="30" customHeight="1" x14ac:dyDescent="0.4">
      <c r="B13" s="60"/>
      <c r="C13" s="54"/>
      <c r="D13" s="64"/>
      <c r="E13" s="64"/>
      <c r="F13" s="64"/>
      <c r="G13" s="47" t="s">
        <v>166</v>
      </c>
      <c r="H13" s="47"/>
      <c r="I13" s="10"/>
      <c r="J13" s="11"/>
      <c r="K13" s="11"/>
      <c r="L13" s="11"/>
      <c r="M13" s="11"/>
      <c r="N13" s="11"/>
      <c r="O13" s="12"/>
      <c r="P13" s="12"/>
      <c r="Q13" s="12"/>
      <c r="R13" s="12"/>
      <c r="S13" s="12"/>
      <c r="T13" s="12"/>
      <c r="U13" s="13"/>
      <c r="V13" s="12"/>
      <c r="W13" s="11"/>
      <c r="X13" s="12"/>
      <c r="Y13" s="12"/>
      <c r="Z13" s="11"/>
      <c r="AA13" s="12"/>
      <c r="AB13" s="12"/>
      <c r="AC13" s="11"/>
      <c r="AD13" s="12"/>
      <c r="AE13" s="12"/>
      <c r="AF13" s="11"/>
      <c r="AG13" s="13"/>
      <c r="AH13" s="12"/>
      <c r="AI13" s="11"/>
      <c r="AJ13" s="12"/>
      <c r="AK13" s="12"/>
      <c r="AL13" s="11"/>
      <c r="AM13" s="12"/>
      <c r="AN13" s="12"/>
      <c r="AO13" s="11"/>
      <c r="AP13" s="12"/>
      <c r="AQ13" s="12"/>
      <c r="AR13" s="11"/>
      <c r="AS13" s="13"/>
      <c r="AT13" s="12"/>
      <c r="AU13" s="11"/>
      <c r="AV13" s="12"/>
      <c r="AW13" s="12"/>
      <c r="AX13" s="11"/>
      <c r="AY13" s="12"/>
      <c r="AZ13" s="12"/>
      <c r="BA13" s="11"/>
      <c r="BB13" s="12"/>
      <c r="BC13" s="12"/>
      <c r="BD13" s="11"/>
      <c r="BE13" s="13"/>
      <c r="BF13" s="12"/>
      <c r="BG13" s="11"/>
      <c r="BH13" s="12"/>
      <c r="BI13" s="12"/>
      <c r="BJ13" s="11"/>
      <c r="BK13" s="12"/>
      <c r="BL13" s="12"/>
      <c r="BM13" s="11"/>
      <c r="BN13" s="12"/>
      <c r="BO13" s="12"/>
      <c r="BP13" s="11"/>
      <c r="BQ13" s="56"/>
      <c r="BR13" s="56"/>
      <c r="BS13" s="57"/>
      <c r="BT13" s="57"/>
      <c r="BU13" s="62" t="s">
        <v>167</v>
      </c>
      <c r="BV13" s="62"/>
      <c r="BW13" s="62"/>
      <c r="BX13" s="62"/>
      <c r="BY13" s="62" t="s">
        <v>168</v>
      </c>
      <c r="BZ13" s="62"/>
      <c r="CA13" s="62"/>
      <c r="CB13" s="62"/>
      <c r="CC13" s="59"/>
      <c r="CD13" s="59"/>
    </row>
    <row r="14" spans="2:82" ht="30" customHeight="1" x14ac:dyDescent="0.4">
      <c r="B14" s="60"/>
      <c r="C14" s="54"/>
      <c r="D14" s="64"/>
      <c r="E14" s="64"/>
      <c r="F14" s="47" t="s">
        <v>169</v>
      </c>
      <c r="G14" s="47" t="s">
        <v>170</v>
      </c>
      <c r="H14" s="47"/>
      <c r="I14" s="10"/>
      <c r="J14" s="12"/>
      <c r="K14" s="12"/>
      <c r="L14" s="12"/>
      <c r="M14" s="12"/>
      <c r="N14" s="12"/>
      <c r="O14" s="12"/>
      <c r="P14" s="12"/>
      <c r="Q14" s="12"/>
      <c r="R14" s="12"/>
      <c r="S14" s="12"/>
      <c r="T14" s="12"/>
      <c r="U14" s="10"/>
      <c r="V14" s="12"/>
      <c r="W14" s="12"/>
      <c r="X14" s="12"/>
      <c r="Y14" s="12"/>
      <c r="Z14" s="12"/>
      <c r="AA14" s="12"/>
      <c r="AB14" s="12"/>
      <c r="AC14" s="12"/>
      <c r="AD14" s="12"/>
      <c r="AE14" s="12"/>
      <c r="AF14" s="12"/>
      <c r="AG14" s="10"/>
      <c r="AH14" s="12"/>
      <c r="AI14" s="12"/>
      <c r="AJ14" s="12"/>
      <c r="AK14" s="12"/>
      <c r="AL14" s="12"/>
      <c r="AM14" s="12"/>
      <c r="AN14" s="12"/>
      <c r="AO14" s="12"/>
      <c r="AP14" s="12"/>
      <c r="AQ14" s="12"/>
      <c r="AR14" s="12"/>
      <c r="AS14" s="10"/>
      <c r="AT14" s="12"/>
      <c r="AU14" s="12"/>
      <c r="AV14" s="12"/>
      <c r="AW14" s="12"/>
      <c r="AX14" s="12"/>
      <c r="AY14" s="12"/>
      <c r="AZ14" s="12"/>
      <c r="BA14" s="12"/>
      <c r="BB14" s="12"/>
      <c r="BC14" s="12"/>
      <c r="BD14" s="12"/>
      <c r="BE14" s="10"/>
      <c r="BF14" s="12"/>
      <c r="BG14" s="12"/>
      <c r="BH14" s="12"/>
      <c r="BI14" s="12"/>
      <c r="BJ14" s="12"/>
      <c r="BK14" s="12"/>
      <c r="BL14" s="12"/>
      <c r="BM14" s="12"/>
      <c r="BN14" s="12"/>
      <c r="BO14" s="12"/>
      <c r="BP14" s="12"/>
      <c r="BQ14" s="56" t="s">
        <v>171</v>
      </c>
      <c r="BR14" s="56" t="s">
        <v>172</v>
      </c>
      <c r="BS14" s="57" t="s">
        <v>173</v>
      </c>
      <c r="BT14" s="57" t="s">
        <v>174</v>
      </c>
      <c r="BU14" s="58" t="s">
        <v>175</v>
      </c>
      <c r="BV14" s="58"/>
      <c r="BW14" s="58"/>
      <c r="BX14" s="58"/>
      <c r="BY14" s="58" t="s">
        <v>176</v>
      </c>
      <c r="BZ14" s="58"/>
      <c r="CA14" s="58"/>
      <c r="CB14" s="58"/>
      <c r="CC14" s="59">
        <f>24*120</f>
        <v>2880</v>
      </c>
      <c r="CD14" s="59">
        <f>(24*120)+(24*120)*1.02^1+(24*120)*1.02^2+(24*120)*1.02^3+(24*120)*1.02^4</f>
        <v>14987.635660800001</v>
      </c>
    </row>
    <row r="15" spans="2:82" ht="30" customHeight="1" x14ac:dyDescent="0.4">
      <c r="B15" s="8" t="s">
        <v>177</v>
      </c>
      <c r="C15" s="54"/>
      <c r="D15" s="64"/>
      <c r="E15" s="64"/>
      <c r="F15" s="64"/>
      <c r="G15" s="47" t="s">
        <v>178</v>
      </c>
      <c r="H15" s="47"/>
      <c r="I15" s="10"/>
      <c r="J15" s="11"/>
      <c r="K15" s="11"/>
      <c r="L15" s="11"/>
      <c r="M15" s="11"/>
      <c r="N15" s="11"/>
      <c r="O15" s="11"/>
      <c r="P15" s="11"/>
      <c r="Q15" s="11"/>
      <c r="R15" s="11"/>
      <c r="S15" s="11"/>
      <c r="T15" s="11"/>
      <c r="U15" s="10"/>
      <c r="V15" s="11"/>
      <c r="W15" s="11"/>
      <c r="X15" s="11"/>
      <c r="Y15" s="11"/>
      <c r="Z15" s="11"/>
      <c r="AA15" s="11"/>
      <c r="AB15" s="11"/>
      <c r="AC15" s="11"/>
      <c r="AD15" s="11"/>
      <c r="AE15" s="11"/>
      <c r="AF15" s="11"/>
      <c r="AG15" s="10"/>
      <c r="AH15" s="11"/>
      <c r="AI15" s="11"/>
      <c r="AJ15" s="11"/>
      <c r="AK15" s="11"/>
      <c r="AL15" s="11"/>
      <c r="AM15" s="11"/>
      <c r="AN15" s="11"/>
      <c r="AO15" s="11"/>
      <c r="AP15" s="11"/>
      <c r="AQ15" s="11"/>
      <c r="AR15" s="11"/>
      <c r="AS15" s="10"/>
      <c r="AT15" s="11"/>
      <c r="AU15" s="11"/>
      <c r="AV15" s="11"/>
      <c r="AW15" s="11"/>
      <c r="AX15" s="11"/>
      <c r="AY15" s="11"/>
      <c r="AZ15" s="11"/>
      <c r="BA15" s="11"/>
      <c r="BB15" s="11"/>
      <c r="BC15" s="11"/>
      <c r="BD15" s="11"/>
      <c r="BE15" s="10"/>
      <c r="BF15" s="11"/>
      <c r="BG15" s="11"/>
      <c r="BH15" s="11"/>
      <c r="BI15" s="11"/>
      <c r="BJ15" s="11"/>
      <c r="BK15" s="11"/>
      <c r="BL15" s="11"/>
      <c r="BM15" s="11"/>
      <c r="BN15" s="11"/>
      <c r="BO15" s="11"/>
      <c r="BP15" s="11"/>
      <c r="BQ15" s="56"/>
      <c r="BR15" s="56"/>
      <c r="BS15" s="57"/>
      <c r="BT15" s="57"/>
      <c r="BU15" s="61" t="s">
        <v>179</v>
      </c>
      <c r="BV15" s="61"/>
      <c r="BW15" s="61"/>
      <c r="BX15" s="61"/>
      <c r="BY15" s="61" t="s">
        <v>180</v>
      </c>
      <c r="BZ15" s="61"/>
      <c r="CA15" s="61"/>
      <c r="CB15" s="61"/>
      <c r="CC15" s="59"/>
      <c r="CD15" s="59"/>
    </row>
    <row r="16" spans="2:82" ht="30" customHeight="1" x14ac:dyDescent="0.4">
      <c r="B16" s="60" t="s">
        <v>181</v>
      </c>
      <c r="C16" s="54"/>
      <c r="D16" s="64"/>
      <c r="E16" s="64"/>
      <c r="F16" s="64"/>
      <c r="G16" s="47" t="s">
        <v>182</v>
      </c>
      <c r="H16" s="47"/>
      <c r="I16" s="10"/>
      <c r="J16" s="11"/>
      <c r="K16" s="11"/>
      <c r="L16" s="11"/>
      <c r="M16" s="11"/>
      <c r="N16" s="11"/>
      <c r="O16" s="11"/>
      <c r="P16" s="11"/>
      <c r="Q16" s="11"/>
      <c r="R16" s="11"/>
      <c r="S16" s="11"/>
      <c r="T16" s="11"/>
      <c r="U16" s="10"/>
      <c r="V16" s="11"/>
      <c r="W16" s="11"/>
      <c r="X16" s="11"/>
      <c r="Y16" s="11"/>
      <c r="Z16" s="11"/>
      <c r="AA16" s="11"/>
      <c r="AB16" s="11"/>
      <c r="AC16" s="11"/>
      <c r="AD16" s="11"/>
      <c r="AE16" s="11"/>
      <c r="AF16" s="11"/>
      <c r="AG16" s="10"/>
      <c r="AH16" s="11"/>
      <c r="AI16" s="11"/>
      <c r="AJ16" s="11"/>
      <c r="AK16" s="11"/>
      <c r="AL16" s="11"/>
      <c r="AM16" s="11"/>
      <c r="AN16" s="11"/>
      <c r="AO16" s="11"/>
      <c r="AP16" s="11"/>
      <c r="AQ16" s="11"/>
      <c r="AR16" s="11"/>
      <c r="AS16" s="10"/>
      <c r="AT16" s="11"/>
      <c r="AU16" s="11"/>
      <c r="AV16" s="11"/>
      <c r="AW16" s="11"/>
      <c r="AX16" s="11"/>
      <c r="AY16" s="11"/>
      <c r="AZ16" s="11"/>
      <c r="BA16" s="11"/>
      <c r="BB16" s="11"/>
      <c r="BC16" s="11"/>
      <c r="BD16" s="11"/>
      <c r="BE16" s="10"/>
      <c r="BF16" s="11"/>
      <c r="BG16" s="11"/>
      <c r="BH16" s="11"/>
      <c r="BI16" s="11"/>
      <c r="BJ16" s="11"/>
      <c r="BK16" s="11"/>
      <c r="BL16" s="11"/>
      <c r="BM16" s="11"/>
      <c r="BN16" s="11"/>
      <c r="BO16" s="11"/>
      <c r="BP16" s="11"/>
      <c r="BQ16" s="56"/>
      <c r="BR16" s="56"/>
      <c r="BS16" s="57"/>
      <c r="BT16" s="57"/>
      <c r="BU16" s="62" t="s">
        <v>183</v>
      </c>
      <c r="BV16" s="62"/>
      <c r="BW16" s="62"/>
      <c r="BX16" s="62"/>
      <c r="BY16" s="62" t="s">
        <v>184</v>
      </c>
      <c r="BZ16" s="62"/>
      <c r="CA16" s="62"/>
      <c r="CB16" s="62"/>
      <c r="CC16" s="59"/>
      <c r="CD16" s="59"/>
    </row>
    <row r="17" spans="2:82" ht="30" customHeight="1" x14ac:dyDescent="0.4">
      <c r="B17" s="60"/>
      <c r="C17" s="54"/>
      <c r="D17" s="64"/>
      <c r="E17" s="64"/>
      <c r="F17" s="47" t="s">
        <v>185</v>
      </c>
      <c r="G17" s="47" t="s">
        <v>186</v>
      </c>
      <c r="H17" s="47"/>
      <c r="I17" s="13"/>
      <c r="J17" s="11"/>
      <c r="K17" s="12"/>
      <c r="L17" s="12"/>
      <c r="M17" s="12"/>
      <c r="N17" s="12"/>
      <c r="O17" s="12"/>
      <c r="P17" s="12"/>
      <c r="Q17" s="12"/>
      <c r="R17" s="12"/>
      <c r="S17" s="12"/>
      <c r="T17" s="12"/>
      <c r="U17" s="13"/>
      <c r="V17" s="11"/>
      <c r="W17" s="12"/>
      <c r="X17" s="12"/>
      <c r="Y17" s="12"/>
      <c r="Z17" s="12"/>
      <c r="AA17" s="12"/>
      <c r="AB17" s="12"/>
      <c r="AC17" s="12"/>
      <c r="AD17" s="12"/>
      <c r="AE17" s="12"/>
      <c r="AF17" s="12"/>
      <c r="AG17" s="13"/>
      <c r="AH17" s="11"/>
      <c r="AI17" s="12"/>
      <c r="AJ17" s="12"/>
      <c r="AK17" s="12"/>
      <c r="AL17" s="12"/>
      <c r="AM17" s="12"/>
      <c r="AN17" s="12"/>
      <c r="AO17" s="12"/>
      <c r="AP17" s="12"/>
      <c r="AQ17" s="12"/>
      <c r="AR17" s="12"/>
      <c r="AS17" s="13"/>
      <c r="AT17" s="11"/>
      <c r="AU17" s="12"/>
      <c r="AV17" s="12"/>
      <c r="AW17" s="12"/>
      <c r="AX17" s="12"/>
      <c r="AY17" s="12"/>
      <c r="AZ17" s="12"/>
      <c r="BA17" s="12"/>
      <c r="BB17" s="12"/>
      <c r="BC17" s="12"/>
      <c r="BD17" s="12"/>
      <c r="BE17" s="13"/>
      <c r="BF17" s="11"/>
      <c r="BG17" s="12"/>
      <c r="BH17" s="12"/>
      <c r="BI17" s="12"/>
      <c r="BJ17" s="12"/>
      <c r="BK17" s="12"/>
      <c r="BL17" s="12"/>
      <c r="BM17" s="12"/>
      <c r="BN17" s="12"/>
      <c r="BO17" s="12"/>
      <c r="BP17" s="12"/>
      <c r="BQ17" s="56" t="s">
        <v>187</v>
      </c>
      <c r="BR17" s="56" t="s">
        <v>187</v>
      </c>
      <c r="BS17" s="57" t="s">
        <v>188</v>
      </c>
      <c r="BT17" s="57" t="s">
        <v>188</v>
      </c>
      <c r="BU17" s="58" t="s">
        <v>189</v>
      </c>
      <c r="BV17" s="58"/>
      <c r="BW17" s="58"/>
      <c r="BX17" s="58"/>
      <c r="BY17" s="58" t="s">
        <v>189</v>
      </c>
      <c r="BZ17" s="58"/>
      <c r="CA17" s="58"/>
      <c r="CB17" s="58"/>
      <c r="CC17" s="59">
        <f>3*1800+1800*0.5</f>
        <v>6300</v>
      </c>
      <c r="CD17" s="59">
        <f>(3*1800+1800*0.5)+(2*1800+300*0.5)*1.02^1+(2*1800+300*0.5)*1.02^2+(2*1800+300*0.5)*1.02^3+(2*1800+300*0.5)*1.02^4</f>
        <v>22065.150599999997</v>
      </c>
    </row>
    <row r="18" spans="2:82" ht="30" customHeight="1" x14ac:dyDescent="0.4">
      <c r="B18" s="60"/>
      <c r="C18" s="54"/>
      <c r="D18" s="64"/>
      <c r="E18" s="64"/>
      <c r="F18" s="64"/>
      <c r="G18" s="47" t="s">
        <v>190</v>
      </c>
      <c r="H18" s="47"/>
      <c r="I18" s="13"/>
      <c r="J18" s="12"/>
      <c r="K18" s="11"/>
      <c r="L18" s="12"/>
      <c r="M18" s="11"/>
      <c r="N18" s="11"/>
      <c r="O18" s="12"/>
      <c r="P18" s="12"/>
      <c r="Q18" s="12"/>
      <c r="R18" s="12"/>
      <c r="S18" s="12"/>
      <c r="T18" s="12"/>
      <c r="U18" s="13"/>
      <c r="V18" s="12"/>
      <c r="W18" s="12"/>
      <c r="X18" s="11"/>
      <c r="Y18" s="12"/>
      <c r="Z18" s="12"/>
      <c r="AA18" s="12"/>
      <c r="AB18" s="12"/>
      <c r="AC18" s="12"/>
      <c r="AD18" s="11"/>
      <c r="AE18" s="12"/>
      <c r="AF18" s="12"/>
      <c r="AG18" s="13"/>
      <c r="AH18" s="12"/>
      <c r="AI18" s="12"/>
      <c r="AJ18" s="11"/>
      <c r="AK18" s="12"/>
      <c r="AL18" s="12"/>
      <c r="AM18" s="12"/>
      <c r="AN18" s="12"/>
      <c r="AO18" s="12"/>
      <c r="AP18" s="11"/>
      <c r="AQ18" s="12"/>
      <c r="AR18" s="12"/>
      <c r="AS18" s="13"/>
      <c r="AT18" s="12"/>
      <c r="AU18" s="12"/>
      <c r="AV18" s="11"/>
      <c r="AW18" s="12"/>
      <c r="AX18" s="12"/>
      <c r="AY18" s="12"/>
      <c r="AZ18" s="12"/>
      <c r="BA18" s="12"/>
      <c r="BB18" s="11"/>
      <c r="BC18" s="12"/>
      <c r="BD18" s="12"/>
      <c r="BE18" s="13"/>
      <c r="BF18" s="12"/>
      <c r="BG18" s="12"/>
      <c r="BH18" s="11"/>
      <c r="BI18" s="12"/>
      <c r="BJ18" s="12"/>
      <c r="BK18" s="12"/>
      <c r="BL18" s="12"/>
      <c r="BM18" s="12"/>
      <c r="BN18" s="11"/>
      <c r="BO18" s="12"/>
      <c r="BP18" s="12"/>
      <c r="BQ18" s="56"/>
      <c r="BR18" s="56"/>
      <c r="BS18" s="57"/>
      <c r="BT18" s="57"/>
      <c r="BU18" s="61" t="s">
        <v>191</v>
      </c>
      <c r="BV18" s="61"/>
      <c r="BW18" s="61"/>
      <c r="BX18" s="61"/>
      <c r="BY18" s="61" t="s">
        <v>191</v>
      </c>
      <c r="BZ18" s="61"/>
      <c r="CA18" s="61"/>
      <c r="CB18" s="61"/>
      <c r="CC18" s="59"/>
      <c r="CD18" s="59"/>
    </row>
    <row r="19" spans="2:82" ht="30" customHeight="1" x14ac:dyDescent="0.4">
      <c r="B19" s="60"/>
      <c r="C19" s="54"/>
      <c r="D19" s="64"/>
      <c r="E19" s="64"/>
      <c r="F19" s="64"/>
      <c r="G19" s="47" t="s">
        <v>192</v>
      </c>
      <c r="H19" s="47"/>
      <c r="I19" s="13"/>
      <c r="J19" s="12"/>
      <c r="K19" s="11"/>
      <c r="L19" s="11"/>
      <c r="M19" s="11"/>
      <c r="N19" s="11"/>
      <c r="O19" s="11"/>
      <c r="P19" s="11"/>
      <c r="Q19" s="11"/>
      <c r="R19" s="11"/>
      <c r="S19" s="11"/>
      <c r="T19" s="11"/>
      <c r="U19" s="10"/>
      <c r="V19" s="11"/>
      <c r="W19" s="11"/>
      <c r="X19" s="11"/>
      <c r="Y19" s="11"/>
      <c r="Z19" s="11"/>
      <c r="AA19" s="11"/>
      <c r="AB19" s="11"/>
      <c r="AC19" s="11"/>
      <c r="AD19" s="11"/>
      <c r="AE19" s="11"/>
      <c r="AF19" s="11"/>
      <c r="AG19" s="10"/>
      <c r="AH19" s="11"/>
      <c r="AI19" s="11"/>
      <c r="AJ19" s="11"/>
      <c r="AK19" s="11"/>
      <c r="AL19" s="11"/>
      <c r="AM19" s="11"/>
      <c r="AN19" s="11"/>
      <c r="AO19" s="11"/>
      <c r="AP19" s="11"/>
      <c r="AQ19" s="11"/>
      <c r="AR19" s="11"/>
      <c r="AS19" s="10"/>
      <c r="AT19" s="11"/>
      <c r="AU19" s="11"/>
      <c r="AV19" s="11"/>
      <c r="AW19" s="11"/>
      <c r="AX19" s="11"/>
      <c r="AY19" s="11"/>
      <c r="AZ19" s="11"/>
      <c r="BA19" s="11"/>
      <c r="BB19" s="11"/>
      <c r="BC19" s="11"/>
      <c r="BD19" s="11"/>
      <c r="BE19" s="10"/>
      <c r="BF19" s="11"/>
      <c r="BG19" s="11"/>
      <c r="BH19" s="11"/>
      <c r="BI19" s="11"/>
      <c r="BJ19" s="11"/>
      <c r="BK19" s="11"/>
      <c r="BL19" s="11"/>
      <c r="BM19" s="11"/>
      <c r="BN19" s="11"/>
      <c r="BO19" s="11"/>
      <c r="BP19" s="11"/>
      <c r="BQ19" s="56"/>
      <c r="BR19" s="56"/>
      <c r="BS19" s="57"/>
      <c r="BT19" s="57"/>
      <c r="BU19" s="62" t="s">
        <v>193</v>
      </c>
      <c r="BV19" s="62"/>
      <c r="BW19" s="62"/>
      <c r="BX19" s="62"/>
      <c r="BY19" s="62" t="s">
        <v>193</v>
      </c>
      <c r="BZ19" s="62"/>
      <c r="CA19" s="62"/>
      <c r="CB19" s="62"/>
      <c r="CC19" s="59"/>
      <c r="CD19" s="59"/>
    </row>
    <row r="20" spans="2:82" ht="30" customHeight="1" x14ac:dyDescent="0.4">
      <c r="B20" s="60"/>
      <c r="C20" s="54"/>
      <c r="D20" s="55" t="s">
        <v>194</v>
      </c>
      <c r="E20" s="49" t="s">
        <v>195</v>
      </c>
      <c r="F20" s="49" t="s">
        <v>196</v>
      </c>
      <c r="G20" s="47" t="s">
        <v>197</v>
      </c>
      <c r="H20" s="47"/>
      <c r="I20" s="10"/>
      <c r="J20" s="11"/>
      <c r="K20" s="12"/>
      <c r="L20" s="12"/>
      <c r="M20" s="12"/>
      <c r="N20" s="12"/>
      <c r="O20" s="12"/>
      <c r="P20" s="12"/>
      <c r="Q20" s="12"/>
      <c r="R20" s="12"/>
      <c r="S20" s="12"/>
      <c r="T20" s="12"/>
      <c r="U20" s="13"/>
      <c r="V20" s="12"/>
      <c r="W20" s="12"/>
      <c r="X20" s="12"/>
      <c r="Y20" s="12"/>
      <c r="Z20" s="12"/>
      <c r="AA20" s="12"/>
      <c r="AB20" s="12"/>
      <c r="AC20" s="12"/>
      <c r="AD20" s="12"/>
      <c r="AE20" s="12"/>
      <c r="AF20" s="12"/>
      <c r="AG20" s="13"/>
      <c r="AH20" s="12"/>
      <c r="AI20" s="12"/>
      <c r="AJ20" s="12"/>
      <c r="AK20" s="12"/>
      <c r="AL20" s="12"/>
      <c r="AM20" s="12"/>
      <c r="AN20" s="12"/>
      <c r="AO20" s="12"/>
      <c r="AP20" s="12"/>
      <c r="AQ20" s="12"/>
      <c r="AR20" s="12"/>
      <c r="AS20" s="13"/>
      <c r="AT20" s="12"/>
      <c r="AU20" s="12"/>
      <c r="AV20" s="12"/>
      <c r="AW20" s="12"/>
      <c r="AX20" s="12"/>
      <c r="AY20" s="12"/>
      <c r="AZ20" s="12"/>
      <c r="BA20" s="12"/>
      <c r="BB20" s="12"/>
      <c r="BC20" s="12"/>
      <c r="BD20" s="12"/>
      <c r="BE20" s="13"/>
      <c r="BF20" s="12"/>
      <c r="BG20" s="12"/>
      <c r="BH20" s="12"/>
      <c r="BI20" s="12"/>
      <c r="BJ20" s="12"/>
      <c r="BK20" s="12"/>
      <c r="BL20" s="12"/>
      <c r="BM20" s="12"/>
      <c r="BN20" s="12"/>
      <c r="BO20" s="12"/>
      <c r="BP20" s="12"/>
      <c r="BQ20" s="56" t="s">
        <v>198</v>
      </c>
      <c r="BR20" s="56" t="s">
        <v>199</v>
      </c>
      <c r="BS20" s="57" t="s">
        <v>200</v>
      </c>
      <c r="BT20" s="57" t="s">
        <v>201</v>
      </c>
      <c r="BU20" s="58" t="s">
        <v>202</v>
      </c>
      <c r="BV20" s="58"/>
      <c r="BW20" s="58"/>
      <c r="BX20" s="58"/>
      <c r="BY20" s="58" t="s">
        <v>203</v>
      </c>
      <c r="BZ20" s="58"/>
      <c r="CA20" s="58"/>
      <c r="CB20" s="58"/>
      <c r="CC20" s="59">
        <f>3000*1.2</f>
        <v>3600</v>
      </c>
      <c r="CD20" s="59">
        <f>(3000*1.2)+(3000*1.2)*1.02^1+(3000*1.2)*1.02^2+(3000*1.2)*1.02^3+(3000*1.2)*1.02^4</f>
        <v>18734.544576</v>
      </c>
    </row>
    <row r="21" spans="2:82" ht="30" customHeight="1" x14ac:dyDescent="0.4">
      <c r="B21" s="60"/>
      <c r="C21" s="54"/>
      <c r="D21" s="55"/>
      <c r="E21" s="55"/>
      <c r="F21" s="55"/>
      <c r="G21" s="47" t="s">
        <v>204</v>
      </c>
      <c r="H21" s="47"/>
      <c r="I21" s="13"/>
      <c r="J21" s="12"/>
      <c r="K21" s="11"/>
      <c r="L21" s="12"/>
      <c r="M21" s="12"/>
      <c r="N21" s="12"/>
      <c r="O21" s="12"/>
      <c r="P21" s="12"/>
      <c r="Q21" s="12"/>
      <c r="R21" s="12"/>
      <c r="S21" s="12"/>
      <c r="T21" s="12"/>
      <c r="U21" s="13"/>
      <c r="V21" s="12"/>
      <c r="W21" s="11"/>
      <c r="X21" s="12"/>
      <c r="Y21" s="12"/>
      <c r="Z21" s="12"/>
      <c r="AA21" s="12"/>
      <c r="AB21" s="12"/>
      <c r="AC21" s="12"/>
      <c r="AD21" s="12"/>
      <c r="AE21" s="12"/>
      <c r="AF21" s="12"/>
      <c r="AG21" s="13"/>
      <c r="AH21" s="12"/>
      <c r="AI21" s="11"/>
      <c r="AJ21" s="12"/>
      <c r="AK21" s="12"/>
      <c r="AL21" s="12"/>
      <c r="AM21" s="12"/>
      <c r="AN21" s="12"/>
      <c r="AO21" s="12"/>
      <c r="AP21" s="12"/>
      <c r="AQ21" s="12"/>
      <c r="AR21" s="12"/>
      <c r="AS21" s="13"/>
      <c r="AT21" s="12"/>
      <c r="AU21" s="11"/>
      <c r="AV21" s="12"/>
      <c r="AW21" s="12"/>
      <c r="AX21" s="12"/>
      <c r="AY21" s="12"/>
      <c r="AZ21" s="12"/>
      <c r="BA21" s="12"/>
      <c r="BB21" s="12"/>
      <c r="BC21" s="12"/>
      <c r="BD21" s="12"/>
      <c r="BE21" s="13"/>
      <c r="BF21" s="12"/>
      <c r="BG21" s="11"/>
      <c r="BH21" s="12"/>
      <c r="BI21" s="12"/>
      <c r="BJ21" s="12"/>
      <c r="BK21" s="12"/>
      <c r="BL21" s="12"/>
      <c r="BM21" s="12"/>
      <c r="BN21" s="12"/>
      <c r="BO21" s="12"/>
      <c r="BP21" s="12"/>
      <c r="BQ21" s="56"/>
      <c r="BR21" s="56"/>
      <c r="BS21" s="57"/>
      <c r="BT21" s="57"/>
      <c r="BU21" s="61" t="s">
        <v>205</v>
      </c>
      <c r="BV21" s="61"/>
      <c r="BW21" s="61"/>
      <c r="BX21" s="61"/>
      <c r="BY21" s="61" t="s">
        <v>206</v>
      </c>
      <c r="BZ21" s="61"/>
      <c r="CA21" s="61"/>
      <c r="CB21" s="61"/>
      <c r="CC21" s="59"/>
      <c r="CD21" s="59"/>
    </row>
    <row r="22" spans="2:82" ht="30" customHeight="1" x14ac:dyDescent="0.4">
      <c r="B22" s="60"/>
      <c r="C22" s="54"/>
      <c r="D22" s="55"/>
      <c r="E22" s="55"/>
      <c r="F22" s="55"/>
      <c r="G22" s="47" t="s">
        <v>207</v>
      </c>
      <c r="H22" s="47"/>
      <c r="I22" s="13"/>
      <c r="J22" s="12"/>
      <c r="K22" s="12"/>
      <c r="L22" s="11"/>
      <c r="M22" s="11"/>
      <c r="N22" s="11"/>
      <c r="O22" s="11"/>
      <c r="P22" s="11"/>
      <c r="Q22" s="11"/>
      <c r="R22" s="11"/>
      <c r="S22" s="11"/>
      <c r="T22" s="11"/>
      <c r="U22" s="10"/>
      <c r="V22" s="11"/>
      <c r="W22" s="11"/>
      <c r="X22" s="11"/>
      <c r="Y22" s="11"/>
      <c r="Z22" s="11"/>
      <c r="AA22" s="11"/>
      <c r="AB22" s="11"/>
      <c r="AC22" s="11"/>
      <c r="AD22" s="11"/>
      <c r="AE22" s="11"/>
      <c r="AF22" s="11"/>
      <c r="AG22" s="10"/>
      <c r="AH22" s="11"/>
      <c r="AI22" s="11"/>
      <c r="AJ22" s="11"/>
      <c r="AK22" s="11"/>
      <c r="AL22" s="11"/>
      <c r="AM22" s="11"/>
      <c r="AN22" s="11"/>
      <c r="AO22" s="11"/>
      <c r="AP22" s="11"/>
      <c r="AQ22" s="11"/>
      <c r="AR22" s="11"/>
      <c r="AS22" s="10"/>
      <c r="AT22" s="11"/>
      <c r="AU22" s="11"/>
      <c r="AV22" s="11"/>
      <c r="AW22" s="11"/>
      <c r="AX22" s="11"/>
      <c r="AY22" s="11"/>
      <c r="AZ22" s="11"/>
      <c r="BA22" s="11"/>
      <c r="BB22" s="11"/>
      <c r="BC22" s="11"/>
      <c r="BD22" s="11"/>
      <c r="BE22" s="10"/>
      <c r="BF22" s="11"/>
      <c r="BG22" s="11"/>
      <c r="BH22" s="11"/>
      <c r="BI22" s="11"/>
      <c r="BJ22" s="11"/>
      <c r="BK22" s="11"/>
      <c r="BL22" s="11"/>
      <c r="BM22" s="11"/>
      <c r="BN22" s="11"/>
      <c r="BO22" s="11"/>
      <c r="BP22" s="11"/>
      <c r="BQ22" s="56"/>
      <c r="BR22" s="56"/>
      <c r="BS22" s="57"/>
      <c r="BT22" s="57"/>
      <c r="BU22" s="62" t="s">
        <v>208</v>
      </c>
      <c r="BV22" s="62"/>
      <c r="BW22" s="62"/>
      <c r="BX22" s="62"/>
      <c r="BY22" s="62" t="s">
        <v>209</v>
      </c>
      <c r="BZ22" s="62"/>
      <c r="CA22" s="62"/>
      <c r="CB22" s="62"/>
      <c r="CC22" s="59"/>
      <c r="CD22" s="59"/>
    </row>
    <row r="23" spans="2:82" ht="30" customHeight="1" x14ac:dyDescent="0.4">
      <c r="B23" s="60"/>
      <c r="C23" s="54"/>
      <c r="D23" s="55"/>
      <c r="E23" s="55"/>
      <c r="F23" s="49" t="s">
        <v>210</v>
      </c>
      <c r="G23" s="47" t="s">
        <v>211</v>
      </c>
      <c r="H23" s="47"/>
      <c r="I23" s="13"/>
      <c r="J23" s="11"/>
      <c r="K23" s="11"/>
      <c r="L23" s="11"/>
      <c r="M23" s="12"/>
      <c r="N23" s="12"/>
      <c r="O23" s="12"/>
      <c r="P23" s="12"/>
      <c r="Q23" s="12"/>
      <c r="R23" s="12"/>
      <c r="S23" s="12"/>
      <c r="T23" s="12"/>
      <c r="U23" s="13"/>
      <c r="V23" s="12"/>
      <c r="W23" s="12"/>
      <c r="X23" s="12"/>
      <c r="Y23" s="12"/>
      <c r="Z23" s="12"/>
      <c r="AA23" s="12"/>
      <c r="AB23" s="12"/>
      <c r="AC23" s="12"/>
      <c r="AD23" s="12"/>
      <c r="AE23" s="12"/>
      <c r="AF23" s="12"/>
      <c r="AG23" s="13"/>
      <c r="AH23" s="12"/>
      <c r="AI23" s="12"/>
      <c r="AJ23" s="12"/>
      <c r="AK23" s="12"/>
      <c r="AL23" s="12"/>
      <c r="AM23" s="12"/>
      <c r="AN23" s="12"/>
      <c r="AO23" s="12"/>
      <c r="AP23" s="12"/>
      <c r="AQ23" s="12"/>
      <c r="AR23" s="12"/>
      <c r="AS23" s="13"/>
      <c r="AT23" s="12"/>
      <c r="AU23" s="12"/>
      <c r="AV23" s="12"/>
      <c r="AW23" s="12"/>
      <c r="AX23" s="12"/>
      <c r="AY23" s="12"/>
      <c r="AZ23" s="12"/>
      <c r="BA23" s="12"/>
      <c r="BB23" s="12"/>
      <c r="BC23" s="12"/>
      <c r="BD23" s="12"/>
      <c r="BE23" s="13"/>
      <c r="BF23" s="12"/>
      <c r="BG23" s="12"/>
      <c r="BH23" s="12"/>
      <c r="BI23" s="12"/>
      <c r="BJ23" s="12"/>
      <c r="BK23" s="12"/>
      <c r="BL23" s="12"/>
      <c r="BM23" s="12"/>
      <c r="BN23" s="12"/>
      <c r="BO23" s="12"/>
      <c r="BP23" s="12"/>
      <c r="BQ23" s="56" t="s">
        <v>212</v>
      </c>
      <c r="BR23" s="56" t="s">
        <v>213</v>
      </c>
      <c r="BS23" s="57" t="s">
        <v>214</v>
      </c>
      <c r="BT23" s="57" t="s">
        <v>215</v>
      </c>
      <c r="BU23" s="58" t="s">
        <v>202</v>
      </c>
      <c r="BV23" s="58"/>
      <c r="BW23" s="58"/>
      <c r="BX23" s="58"/>
      <c r="BY23" s="58" t="s">
        <v>203</v>
      </c>
      <c r="BZ23" s="58"/>
      <c r="CA23" s="58"/>
      <c r="CB23" s="58"/>
      <c r="CC23" s="59">
        <f>1500*2.5+1*1500</f>
        <v>5250</v>
      </c>
      <c r="CD23" s="59">
        <f>(1500*2.5+1*1500)+(3000*2.5)*1.02^1+(3000*2.5+1*1500)*1.02^2+(3000*2.5)*1.02^3+(3000*2.5)*1.02^4</f>
        <v>38340.901199999993</v>
      </c>
    </row>
    <row r="24" spans="2:82" ht="30" customHeight="1" x14ac:dyDescent="0.4">
      <c r="B24" s="60"/>
      <c r="C24" s="54"/>
      <c r="D24" s="55"/>
      <c r="E24" s="55"/>
      <c r="F24" s="55"/>
      <c r="G24" s="47" t="s">
        <v>216</v>
      </c>
      <c r="H24" s="47"/>
      <c r="I24" s="13"/>
      <c r="J24" s="12"/>
      <c r="K24" s="12"/>
      <c r="L24" s="12"/>
      <c r="M24" s="11"/>
      <c r="N24" s="11"/>
      <c r="O24" s="12"/>
      <c r="P24" s="12"/>
      <c r="Q24" s="12"/>
      <c r="R24" s="12"/>
      <c r="S24" s="12"/>
      <c r="T24" s="12"/>
      <c r="U24" s="13"/>
      <c r="V24" s="12"/>
      <c r="W24" s="12"/>
      <c r="X24" s="12"/>
      <c r="Y24" s="11"/>
      <c r="Z24" s="12"/>
      <c r="AA24" s="12"/>
      <c r="AB24" s="12"/>
      <c r="AC24" s="12"/>
      <c r="AD24" s="12"/>
      <c r="AE24" s="12"/>
      <c r="AF24" s="12"/>
      <c r="AG24" s="13"/>
      <c r="AH24" s="12"/>
      <c r="AI24" s="12"/>
      <c r="AJ24" s="12"/>
      <c r="AK24" s="11"/>
      <c r="AL24" s="12"/>
      <c r="AM24" s="12"/>
      <c r="AN24" s="12"/>
      <c r="AO24" s="12"/>
      <c r="AP24" s="12"/>
      <c r="AQ24" s="12"/>
      <c r="AR24" s="12"/>
      <c r="AS24" s="13"/>
      <c r="AT24" s="12"/>
      <c r="AU24" s="12"/>
      <c r="AV24" s="12"/>
      <c r="AW24" s="11"/>
      <c r="AX24" s="12"/>
      <c r="AY24" s="12"/>
      <c r="AZ24" s="12"/>
      <c r="BA24" s="12"/>
      <c r="BB24" s="12"/>
      <c r="BC24" s="12"/>
      <c r="BD24" s="12"/>
      <c r="BE24" s="13"/>
      <c r="BF24" s="12"/>
      <c r="BG24" s="12"/>
      <c r="BH24" s="12"/>
      <c r="BI24" s="11"/>
      <c r="BJ24" s="12"/>
      <c r="BK24" s="12"/>
      <c r="BL24" s="12"/>
      <c r="BM24" s="12"/>
      <c r="BN24" s="12"/>
      <c r="BO24" s="12"/>
      <c r="BP24" s="12"/>
      <c r="BQ24" s="56"/>
      <c r="BR24" s="56"/>
      <c r="BS24" s="57"/>
      <c r="BT24" s="57"/>
      <c r="BU24" s="61" t="s">
        <v>205</v>
      </c>
      <c r="BV24" s="61"/>
      <c r="BW24" s="61"/>
      <c r="BX24" s="61"/>
      <c r="BY24" s="61" t="s">
        <v>206</v>
      </c>
      <c r="BZ24" s="61"/>
      <c r="CA24" s="61"/>
      <c r="CB24" s="61"/>
      <c r="CC24" s="59"/>
      <c r="CD24" s="59"/>
    </row>
    <row r="25" spans="2:82" ht="30" customHeight="1" x14ac:dyDescent="0.4">
      <c r="B25" s="8" t="s">
        <v>217</v>
      </c>
      <c r="C25" s="54"/>
      <c r="D25" s="55"/>
      <c r="E25" s="55"/>
      <c r="F25" s="55"/>
      <c r="G25" s="47" t="s">
        <v>218</v>
      </c>
      <c r="H25" s="47"/>
      <c r="I25" s="13"/>
      <c r="J25" s="12"/>
      <c r="K25" s="12"/>
      <c r="L25" s="12"/>
      <c r="M25" s="12"/>
      <c r="N25" s="12"/>
      <c r="O25" s="11"/>
      <c r="P25" s="11"/>
      <c r="Q25" s="11"/>
      <c r="R25" s="11"/>
      <c r="S25" s="11"/>
      <c r="T25" s="11"/>
      <c r="U25" s="10"/>
      <c r="V25" s="11"/>
      <c r="W25" s="11"/>
      <c r="X25" s="11"/>
      <c r="Y25" s="11"/>
      <c r="Z25" s="11"/>
      <c r="AA25" s="11"/>
      <c r="AB25" s="11"/>
      <c r="AC25" s="11"/>
      <c r="AD25" s="11"/>
      <c r="AE25" s="11"/>
      <c r="AF25" s="11"/>
      <c r="AG25" s="10"/>
      <c r="AH25" s="11"/>
      <c r="AI25" s="11"/>
      <c r="AJ25" s="11"/>
      <c r="AK25" s="11"/>
      <c r="AL25" s="11"/>
      <c r="AM25" s="11"/>
      <c r="AN25" s="11"/>
      <c r="AO25" s="11"/>
      <c r="AP25" s="11"/>
      <c r="AQ25" s="11"/>
      <c r="AR25" s="11"/>
      <c r="AS25" s="10"/>
      <c r="AT25" s="11"/>
      <c r="AU25" s="11"/>
      <c r="AV25" s="11"/>
      <c r="AW25" s="11"/>
      <c r="AX25" s="11"/>
      <c r="AY25" s="11"/>
      <c r="AZ25" s="11"/>
      <c r="BA25" s="11"/>
      <c r="BB25" s="11"/>
      <c r="BC25" s="11"/>
      <c r="BD25" s="11"/>
      <c r="BE25" s="10"/>
      <c r="BF25" s="11"/>
      <c r="BG25" s="11"/>
      <c r="BH25" s="11"/>
      <c r="BI25" s="11"/>
      <c r="BJ25" s="11"/>
      <c r="BK25" s="11"/>
      <c r="BL25" s="11"/>
      <c r="BM25" s="11"/>
      <c r="BN25" s="11"/>
      <c r="BO25" s="11"/>
      <c r="BP25" s="11"/>
      <c r="BQ25" s="56"/>
      <c r="BR25" s="56"/>
      <c r="BS25" s="57"/>
      <c r="BT25" s="57"/>
      <c r="BU25" s="62" t="s">
        <v>208</v>
      </c>
      <c r="BV25" s="62"/>
      <c r="BW25" s="62"/>
      <c r="BX25" s="62"/>
      <c r="BY25" s="62" t="s">
        <v>209</v>
      </c>
      <c r="BZ25" s="62"/>
      <c r="CA25" s="62"/>
      <c r="CB25" s="62"/>
      <c r="CC25" s="59"/>
      <c r="CD25" s="59"/>
    </row>
    <row r="26" spans="2:82" ht="30" customHeight="1" x14ac:dyDescent="0.4">
      <c r="B26" s="60" t="s">
        <v>219</v>
      </c>
      <c r="C26" s="54"/>
      <c r="D26" s="55"/>
      <c r="E26" s="55"/>
      <c r="F26" s="49" t="s">
        <v>220</v>
      </c>
      <c r="G26" s="47" t="s">
        <v>221</v>
      </c>
      <c r="H26" s="47"/>
      <c r="I26" s="13"/>
      <c r="J26" s="12"/>
      <c r="K26" s="12"/>
      <c r="L26" s="11"/>
      <c r="M26" s="11"/>
      <c r="N26" s="12"/>
      <c r="O26" s="12"/>
      <c r="P26" s="12"/>
      <c r="Q26" s="12"/>
      <c r="R26" s="12"/>
      <c r="S26" s="12"/>
      <c r="T26" s="12"/>
      <c r="U26" s="13"/>
      <c r="V26" s="12"/>
      <c r="W26" s="12"/>
      <c r="X26" s="11"/>
      <c r="Y26" s="12"/>
      <c r="Z26" s="12"/>
      <c r="AA26" s="12"/>
      <c r="AB26" s="12"/>
      <c r="AC26" s="12"/>
      <c r="AD26" s="12"/>
      <c r="AE26" s="12"/>
      <c r="AF26" s="12"/>
      <c r="AG26" s="13"/>
      <c r="AH26" s="12"/>
      <c r="AI26" s="12"/>
      <c r="AJ26" s="11"/>
      <c r="AK26" s="12"/>
      <c r="AL26" s="12"/>
      <c r="AM26" s="12"/>
      <c r="AN26" s="12"/>
      <c r="AO26" s="12"/>
      <c r="AP26" s="12"/>
      <c r="AQ26" s="12"/>
      <c r="AR26" s="12"/>
      <c r="AS26" s="13"/>
      <c r="AT26" s="12"/>
      <c r="AU26" s="12"/>
      <c r="AV26" s="11"/>
      <c r="AW26" s="12"/>
      <c r="AX26" s="12"/>
      <c r="AY26" s="12"/>
      <c r="AZ26" s="12"/>
      <c r="BA26" s="12"/>
      <c r="BB26" s="12"/>
      <c r="BC26" s="12"/>
      <c r="BD26" s="12"/>
      <c r="BE26" s="13"/>
      <c r="BF26" s="12"/>
      <c r="BG26" s="12"/>
      <c r="BH26" s="11"/>
      <c r="BI26" s="12"/>
      <c r="BJ26" s="12"/>
      <c r="BK26" s="12"/>
      <c r="BL26" s="12"/>
      <c r="BM26" s="12"/>
      <c r="BN26" s="12"/>
      <c r="BO26" s="12"/>
      <c r="BP26" s="12"/>
      <c r="BQ26" s="56" t="s">
        <v>222</v>
      </c>
      <c r="BR26" s="56" t="s">
        <v>223</v>
      </c>
      <c r="BS26" s="57" t="s">
        <v>224</v>
      </c>
      <c r="BT26" s="57" t="s">
        <v>225</v>
      </c>
      <c r="BU26" s="58" t="s">
        <v>202</v>
      </c>
      <c r="BV26" s="58"/>
      <c r="BW26" s="58"/>
      <c r="BX26" s="58"/>
      <c r="BY26" s="58" t="s">
        <v>203</v>
      </c>
      <c r="BZ26" s="58"/>
      <c r="CA26" s="58"/>
      <c r="CB26" s="58"/>
      <c r="CC26" s="59">
        <f>3*180+300*6.5</f>
        <v>2490</v>
      </c>
      <c r="CD26" s="59">
        <f>(3*180+300*6.5)+(4*180+300*6.5)*1.02^1+(4*180+300*6.5)*1.02^2+(4*180+300*6.5)*1.02^3+(4*180+300*6.5)*1.02^4</f>
        <v>13714.787227199999</v>
      </c>
    </row>
    <row r="27" spans="2:82" ht="30" customHeight="1" x14ac:dyDescent="0.4">
      <c r="B27" s="60"/>
      <c r="C27" s="54"/>
      <c r="D27" s="55"/>
      <c r="E27" s="55"/>
      <c r="F27" s="55"/>
      <c r="G27" s="47" t="s">
        <v>226</v>
      </c>
      <c r="H27" s="47"/>
      <c r="I27" s="13"/>
      <c r="J27" s="12"/>
      <c r="K27" s="12"/>
      <c r="L27" s="12"/>
      <c r="M27" s="12"/>
      <c r="N27" s="11"/>
      <c r="O27" s="11"/>
      <c r="P27" s="12"/>
      <c r="Q27" s="12"/>
      <c r="R27" s="12"/>
      <c r="S27" s="12"/>
      <c r="T27" s="12"/>
      <c r="U27" s="13"/>
      <c r="V27" s="12"/>
      <c r="W27" s="12"/>
      <c r="X27" s="12"/>
      <c r="Y27" s="11"/>
      <c r="Z27" s="12"/>
      <c r="AA27" s="12"/>
      <c r="AB27" s="12"/>
      <c r="AC27" s="12"/>
      <c r="AD27" s="12"/>
      <c r="AE27" s="12"/>
      <c r="AF27" s="12"/>
      <c r="AG27" s="13"/>
      <c r="AH27" s="12"/>
      <c r="AI27" s="12"/>
      <c r="AJ27" s="12"/>
      <c r="AK27" s="11"/>
      <c r="AL27" s="12"/>
      <c r="AM27" s="12"/>
      <c r="AN27" s="12"/>
      <c r="AO27" s="12"/>
      <c r="AP27" s="12"/>
      <c r="AQ27" s="12"/>
      <c r="AR27" s="12"/>
      <c r="AS27" s="13"/>
      <c r="AT27" s="12"/>
      <c r="AU27" s="12"/>
      <c r="AV27" s="12"/>
      <c r="AW27" s="11"/>
      <c r="AX27" s="12"/>
      <c r="AY27" s="12"/>
      <c r="AZ27" s="12"/>
      <c r="BA27" s="12"/>
      <c r="BB27" s="12"/>
      <c r="BC27" s="12"/>
      <c r="BD27" s="12"/>
      <c r="BE27" s="13"/>
      <c r="BF27" s="12"/>
      <c r="BG27" s="12"/>
      <c r="BH27" s="12"/>
      <c r="BI27" s="11"/>
      <c r="BJ27" s="12"/>
      <c r="BK27" s="12"/>
      <c r="BL27" s="12"/>
      <c r="BM27" s="12"/>
      <c r="BN27" s="12"/>
      <c r="BO27" s="12"/>
      <c r="BP27" s="12"/>
      <c r="BQ27" s="56"/>
      <c r="BR27" s="56"/>
      <c r="BS27" s="57"/>
      <c r="BT27" s="57"/>
      <c r="BU27" s="61" t="s">
        <v>205</v>
      </c>
      <c r="BV27" s="61"/>
      <c r="BW27" s="61"/>
      <c r="BX27" s="61"/>
      <c r="BY27" s="61" t="s">
        <v>206</v>
      </c>
      <c r="BZ27" s="61"/>
      <c r="CA27" s="61"/>
      <c r="CB27" s="61"/>
      <c r="CC27" s="59"/>
      <c r="CD27" s="59"/>
    </row>
    <row r="28" spans="2:82" ht="30" customHeight="1" x14ac:dyDescent="0.4">
      <c r="B28" s="60"/>
      <c r="C28" s="54"/>
      <c r="D28" s="55"/>
      <c r="E28" s="55"/>
      <c r="F28" s="55"/>
      <c r="G28" s="47" t="s">
        <v>227</v>
      </c>
      <c r="H28" s="47"/>
      <c r="I28" s="13"/>
      <c r="J28" s="12"/>
      <c r="K28" s="12"/>
      <c r="L28" s="12"/>
      <c r="M28" s="12"/>
      <c r="N28" s="12"/>
      <c r="O28" s="12"/>
      <c r="P28" s="11"/>
      <c r="Q28" s="11"/>
      <c r="R28" s="11"/>
      <c r="S28" s="11"/>
      <c r="T28" s="11"/>
      <c r="U28" s="10"/>
      <c r="V28" s="11"/>
      <c r="W28" s="11"/>
      <c r="X28" s="11"/>
      <c r="Y28" s="11"/>
      <c r="Z28" s="11"/>
      <c r="AA28" s="11"/>
      <c r="AB28" s="11"/>
      <c r="AC28" s="11"/>
      <c r="AD28" s="11"/>
      <c r="AE28" s="11"/>
      <c r="AF28" s="11"/>
      <c r="AG28" s="10"/>
      <c r="AH28" s="11"/>
      <c r="AI28" s="11"/>
      <c r="AJ28" s="11"/>
      <c r="AK28" s="11"/>
      <c r="AL28" s="11"/>
      <c r="AM28" s="11"/>
      <c r="AN28" s="11"/>
      <c r="AO28" s="11"/>
      <c r="AP28" s="11"/>
      <c r="AQ28" s="11"/>
      <c r="AR28" s="11"/>
      <c r="AS28" s="10"/>
      <c r="AT28" s="11"/>
      <c r="AU28" s="11"/>
      <c r="AV28" s="11"/>
      <c r="AW28" s="11"/>
      <c r="AX28" s="11"/>
      <c r="AY28" s="11"/>
      <c r="AZ28" s="11"/>
      <c r="BA28" s="11"/>
      <c r="BB28" s="11"/>
      <c r="BC28" s="11"/>
      <c r="BD28" s="11"/>
      <c r="BE28" s="10"/>
      <c r="BF28" s="11"/>
      <c r="BG28" s="11"/>
      <c r="BH28" s="11"/>
      <c r="BI28" s="11"/>
      <c r="BJ28" s="11"/>
      <c r="BK28" s="11"/>
      <c r="BL28" s="11"/>
      <c r="BM28" s="11"/>
      <c r="BN28" s="11"/>
      <c r="BO28" s="11"/>
      <c r="BP28" s="11"/>
      <c r="BQ28" s="56"/>
      <c r="BR28" s="56"/>
      <c r="BS28" s="57"/>
      <c r="BT28" s="57"/>
      <c r="BU28" s="62" t="s">
        <v>208</v>
      </c>
      <c r="BV28" s="62"/>
      <c r="BW28" s="62"/>
      <c r="BX28" s="62"/>
      <c r="BY28" s="62" t="s">
        <v>209</v>
      </c>
      <c r="BZ28" s="62"/>
      <c r="CA28" s="62"/>
      <c r="CB28" s="62"/>
      <c r="CC28" s="59"/>
      <c r="CD28" s="59"/>
    </row>
    <row r="29" spans="2:82" ht="30" customHeight="1" x14ac:dyDescent="0.4">
      <c r="B29" s="60"/>
      <c r="C29" s="54"/>
      <c r="D29" s="64" t="s">
        <v>228</v>
      </c>
      <c r="E29" s="47" t="s">
        <v>229</v>
      </c>
      <c r="F29" s="47" t="s">
        <v>230</v>
      </c>
      <c r="G29" s="47" t="s">
        <v>231</v>
      </c>
      <c r="H29" s="47"/>
      <c r="I29" s="13"/>
      <c r="J29" s="12"/>
      <c r="K29" s="11"/>
      <c r="L29" s="11"/>
      <c r="M29" s="12"/>
      <c r="N29" s="12"/>
      <c r="O29" s="12"/>
      <c r="P29" s="12"/>
      <c r="Q29" s="11"/>
      <c r="R29" s="12"/>
      <c r="S29" s="12"/>
      <c r="T29" s="12"/>
      <c r="U29" s="13"/>
      <c r="V29" s="12"/>
      <c r="W29" s="11"/>
      <c r="X29" s="12"/>
      <c r="Y29" s="12"/>
      <c r="Z29" s="12"/>
      <c r="AA29" s="12"/>
      <c r="AB29" s="12"/>
      <c r="AC29" s="12"/>
      <c r="AD29" s="12"/>
      <c r="AE29" s="12"/>
      <c r="AF29" s="12"/>
      <c r="AG29" s="13"/>
      <c r="AH29" s="12"/>
      <c r="AI29" s="12"/>
      <c r="AJ29" s="12"/>
      <c r="AK29" s="12"/>
      <c r="AL29" s="12"/>
      <c r="AM29" s="12"/>
      <c r="AN29" s="12"/>
      <c r="AO29" s="12"/>
      <c r="AP29" s="12"/>
      <c r="AQ29" s="12"/>
      <c r="AR29" s="12"/>
      <c r="AS29" s="13"/>
      <c r="AT29" s="12"/>
      <c r="AU29" s="12"/>
      <c r="AV29" s="12"/>
      <c r="AW29" s="12"/>
      <c r="AX29" s="12"/>
      <c r="AY29" s="12"/>
      <c r="AZ29" s="12"/>
      <c r="BA29" s="12"/>
      <c r="BB29" s="12"/>
      <c r="BC29" s="12"/>
      <c r="BD29" s="12"/>
      <c r="BE29" s="13"/>
      <c r="BF29" s="12"/>
      <c r="BG29" s="12"/>
      <c r="BH29" s="12"/>
      <c r="BI29" s="12"/>
      <c r="BJ29" s="12"/>
      <c r="BK29" s="12"/>
      <c r="BL29" s="12"/>
      <c r="BM29" s="12"/>
      <c r="BN29" s="12"/>
      <c r="BO29" s="12"/>
      <c r="BP29" s="12"/>
      <c r="BQ29" s="56" t="s">
        <v>232</v>
      </c>
      <c r="BR29" s="56" t="s">
        <v>233</v>
      </c>
      <c r="BS29" s="57" t="s">
        <v>234</v>
      </c>
      <c r="BT29" s="57" t="s">
        <v>235</v>
      </c>
      <c r="BU29" s="58" t="s">
        <v>135</v>
      </c>
      <c r="BV29" s="58"/>
      <c r="BW29" s="58"/>
      <c r="BX29" s="58"/>
      <c r="BY29" s="58" t="s">
        <v>236</v>
      </c>
      <c r="BZ29" s="58"/>
      <c r="CA29" s="58"/>
      <c r="CB29" s="58"/>
      <c r="CC29" s="59">
        <f>3*1200+16*40+8*50</f>
        <v>4640</v>
      </c>
      <c r="CD29" s="59">
        <f>(3*1200+16*40+8*50)+(2*1200+16*40+4*50)*1.02^1+(1*1200+12*40+12*50)*1.02^2+(1*1200+12*40+12*50)*1.02^3+(1*1200+12*40+12*50)*1.02^4</f>
        <v>15204.411564800001</v>
      </c>
    </row>
    <row r="30" spans="2:82" ht="30" customHeight="1" x14ac:dyDescent="0.4">
      <c r="B30" s="60"/>
      <c r="C30" s="54"/>
      <c r="D30" s="64"/>
      <c r="E30" s="64"/>
      <c r="F30" s="64"/>
      <c r="G30" s="47" t="s">
        <v>237</v>
      </c>
      <c r="H30" s="47"/>
      <c r="I30" s="13"/>
      <c r="J30" s="12"/>
      <c r="K30" s="12"/>
      <c r="L30" s="12"/>
      <c r="M30" s="11"/>
      <c r="N30" s="11"/>
      <c r="O30" s="12"/>
      <c r="P30" s="12"/>
      <c r="Q30" s="12"/>
      <c r="R30" s="11"/>
      <c r="S30" s="12"/>
      <c r="T30" s="12"/>
      <c r="U30" s="13"/>
      <c r="V30" s="12"/>
      <c r="W30" s="12"/>
      <c r="X30" s="11"/>
      <c r="Y30" s="12"/>
      <c r="Z30" s="12"/>
      <c r="AA30" s="12"/>
      <c r="AB30" s="12"/>
      <c r="AC30" s="12"/>
      <c r="AD30" s="12"/>
      <c r="AE30" s="12"/>
      <c r="AF30" s="12"/>
      <c r="AG30" s="13"/>
      <c r="AH30" s="12"/>
      <c r="AI30" s="12"/>
      <c r="AJ30" s="12"/>
      <c r="AK30" s="12"/>
      <c r="AL30" s="12"/>
      <c r="AM30" s="12"/>
      <c r="AN30" s="12"/>
      <c r="AO30" s="12"/>
      <c r="AP30" s="12"/>
      <c r="AQ30" s="12"/>
      <c r="AR30" s="12"/>
      <c r="AS30" s="13"/>
      <c r="AT30" s="12"/>
      <c r="AU30" s="12"/>
      <c r="AV30" s="12"/>
      <c r="AW30" s="12"/>
      <c r="AX30" s="12"/>
      <c r="AY30" s="12"/>
      <c r="AZ30" s="12"/>
      <c r="BA30" s="12"/>
      <c r="BB30" s="12"/>
      <c r="BC30" s="12"/>
      <c r="BD30" s="12"/>
      <c r="BE30" s="13"/>
      <c r="BF30" s="12"/>
      <c r="BG30" s="12"/>
      <c r="BH30" s="12"/>
      <c r="BI30" s="12"/>
      <c r="BJ30" s="12"/>
      <c r="BK30" s="12"/>
      <c r="BL30" s="12"/>
      <c r="BM30" s="12"/>
      <c r="BN30" s="12"/>
      <c r="BO30" s="12"/>
      <c r="BP30" s="12"/>
      <c r="BQ30" s="56"/>
      <c r="BR30" s="56"/>
      <c r="BS30" s="57"/>
      <c r="BT30" s="57"/>
      <c r="BU30" s="61" t="s">
        <v>138</v>
      </c>
      <c r="BV30" s="61"/>
      <c r="BW30" s="61"/>
      <c r="BX30" s="61"/>
      <c r="BY30" s="61" t="s">
        <v>238</v>
      </c>
      <c r="BZ30" s="61"/>
      <c r="CA30" s="61"/>
      <c r="CB30" s="61"/>
      <c r="CC30" s="59"/>
      <c r="CD30" s="59"/>
    </row>
    <row r="31" spans="2:82" ht="30" customHeight="1" x14ac:dyDescent="0.4">
      <c r="B31" s="60"/>
      <c r="C31" s="54"/>
      <c r="D31" s="64"/>
      <c r="E31" s="64"/>
      <c r="F31" s="64"/>
      <c r="G31" s="47" t="s">
        <v>239</v>
      </c>
      <c r="H31" s="47"/>
      <c r="I31" s="13"/>
      <c r="J31" s="12"/>
      <c r="K31" s="12"/>
      <c r="L31" s="12"/>
      <c r="M31" s="12"/>
      <c r="N31" s="12"/>
      <c r="O31" s="11"/>
      <c r="P31" s="12"/>
      <c r="Q31" s="12"/>
      <c r="R31" s="12"/>
      <c r="S31" s="11"/>
      <c r="T31" s="12"/>
      <c r="U31" s="13"/>
      <c r="V31" s="12"/>
      <c r="W31" s="12"/>
      <c r="X31" s="12"/>
      <c r="Y31" s="11"/>
      <c r="Z31" s="11"/>
      <c r="AA31" s="12"/>
      <c r="AB31" s="12"/>
      <c r="AC31" s="12"/>
      <c r="AD31" s="12"/>
      <c r="AE31" s="12"/>
      <c r="AF31" s="12"/>
      <c r="AG31" s="13"/>
      <c r="AH31" s="12"/>
      <c r="AI31" s="12"/>
      <c r="AJ31" s="12"/>
      <c r="AK31" s="12"/>
      <c r="AL31" s="11"/>
      <c r="AM31" s="12"/>
      <c r="AN31" s="12"/>
      <c r="AO31" s="12"/>
      <c r="AP31" s="12"/>
      <c r="AQ31" s="12"/>
      <c r="AR31" s="12"/>
      <c r="AS31" s="13"/>
      <c r="AT31" s="12"/>
      <c r="AU31" s="12"/>
      <c r="AV31" s="12"/>
      <c r="AW31" s="12"/>
      <c r="AX31" s="11"/>
      <c r="AY31" s="12"/>
      <c r="AZ31" s="12"/>
      <c r="BA31" s="12"/>
      <c r="BB31" s="12"/>
      <c r="BC31" s="12"/>
      <c r="BD31" s="12"/>
      <c r="BE31" s="13"/>
      <c r="BF31" s="12"/>
      <c r="BG31" s="12"/>
      <c r="BH31" s="12"/>
      <c r="BI31" s="12"/>
      <c r="BJ31" s="11"/>
      <c r="BK31" s="12"/>
      <c r="BL31" s="12"/>
      <c r="BM31" s="12"/>
      <c r="BN31" s="12"/>
      <c r="BO31" s="12"/>
      <c r="BP31" s="12"/>
      <c r="BQ31" s="56"/>
      <c r="BR31" s="56"/>
      <c r="BS31" s="57"/>
      <c r="BT31" s="57"/>
      <c r="BU31" s="62" t="s">
        <v>140</v>
      </c>
      <c r="BV31" s="62"/>
      <c r="BW31" s="62"/>
      <c r="BX31" s="62"/>
      <c r="BY31" s="62" t="s">
        <v>240</v>
      </c>
      <c r="BZ31" s="62"/>
      <c r="CA31" s="62"/>
      <c r="CB31" s="62"/>
      <c r="CC31" s="59"/>
      <c r="CD31" s="59"/>
    </row>
    <row r="32" spans="2:82" ht="30" customHeight="1" x14ac:dyDescent="0.4">
      <c r="B32" s="60"/>
      <c r="C32" s="54"/>
      <c r="D32" s="64"/>
      <c r="E32" s="64"/>
      <c r="F32" s="47" t="s">
        <v>241</v>
      </c>
      <c r="G32" s="47" t="s">
        <v>242</v>
      </c>
      <c r="H32" s="47"/>
      <c r="I32" s="13"/>
      <c r="J32" s="12"/>
      <c r="K32" s="12"/>
      <c r="L32" s="12"/>
      <c r="M32" s="12"/>
      <c r="N32" s="12"/>
      <c r="O32" s="11"/>
      <c r="P32" s="11"/>
      <c r="Q32" s="11"/>
      <c r="R32" s="11"/>
      <c r="S32" s="11"/>
      <c r="T32" s="11"/>
      <c r="U32" s="10"/>
      <c r="V32" s="11"/>
      <c r="W32" s="11"/>
      <c r="X32" s="11"/>
      <c r="Y32" s="11"/>
      <c r="Z32" s="11"/>
      <c r="AA32" s="11"/>
      <c r="AB32" s="11"/>
      <c r="AC32" s="11"/>
      <c r="AD32" s="11"/>
      <c r="AE32" s="11"/>
      <c r="AF32" s="11"/>
      <c r="AG32" s="10"/>
      <c r="AH32" s="11"/>
      <c r="AI32" s="11"/>
      <c r="AJ32" s="11"/>
      <c r="AK32" s="11"/>
      <c r="AL32" s="11"/>
      <c r="AM32" s="11"/>
      <c r="AN32" s="11"/>
      <c r="AO32" s="11"/>
      <c r="AP32" s="11"/>
      <c r="AQ32" s="11"/>
      <c r="AR32" s="11"/>
      <c r="AS32" s="10"/>
      <c r="AT32" s="11"/>
      <c r="AU32" s="11"/>
      <c r="AV32" s="11"/>
      <c r="AW32" s="11"/>
      <c r="AX32" s="11"/>
      <c r="AY32" s="11"/>
      <c r="AZ32" s="11"/>
      <c r="BA32" s="11"/>
      <c r="BB32" s="11"/>
      <c r="BC32" s="11"/>
      <c r="BD32" s="11"/>
      <c r="BE32" s="10"/>
      <c r="BF32" s="11"/>
      <c r="BG32" s="11"/>
      <c r="BH32" s="11"/>
      <c r="BI32" s="11"/>
      <c r="BJ32" s="11"/>
      <c r="BK32" s="11"/>
      <c r="BL32" s="11"/>
      <c r="BM32" s="11"/>
      <c r="BN32" s="11"/>
      <c r="BO32" s="11"/>
      <c r="BP32" s="11"/>
      <c r="BQ32" s="56" t="s">
        <v>243</v>
      </c>
      <c r="BR32" s="56" t="s">
        <v>243</v>
      </c>
      <c r="BS32" s="57" t="s">
        <v>244</v>
      </c>
      <c r="BT32" s="57" t="s">
        <v>244</v>
      </c>
      <c r="BU32" s="58" t="s">
        <v>203</v>
      </c>
      <c r="BV32" s="58"/>
      <c r="BW32" s="58"/>
      <c r="BX32" s="58"/>
      <c r="BY32" s="58" t="s">
        <v>203</v>
      </c>
      <c r="BZ32" s="58"/>
      <c r="CA32" s="58"/>
      <c r="CB32" s="58"/>
      <c r="CC32" s="59">
        <f>2*250+1*200</f>
        <v>700</v>
      </c>
      <c r="CD32" s="59">
        <f>(2*250+1*200)+(3*250)*1.02^1+(3*250)*1.02^2+(3*250)*1.02^3+(3*250)*1.02^4</f>
        <v>3853.0301200000004</v>
      </c>
    </row>
    <row r="33" spans="2:82" ht="30" customHeight="1" x14ac:dyDescent="0.4">
      <c r="B33" s="60"/>
      <c r="C33" s="54"/>
      <c r="D33" s="64"/>
      <c r="E33" s="64"/>
      <c r="F33" s="64"/>
      <c r="G33" s="47" t="s">
        <v>245</v>
      </c>
      <c r="H33" s="47"/>
      <c r="I33" s="13"/>
      <c r="J33" s="12"/>
      <c r="K33" s="12"/>
      <c r="L33" s="12"/>
      <c r="M33" s="12"/>
      <c r="N33" s="12"/>
      <c r="O33" s="11"/>
      <c r="P33" s="11"/>
      <c r="Q33" s="11"/>
      <c r="R33" s="11"/>
      <c r="S33" s="11"/>
      <c r="T33" s="11"/>
      <c r="U33" s="10"/>
      <c r="V33" s="11"/>
      <c r="W33" s="11"/>
      <c r="X33" s="11"/>
      <c r="Y33" s="11"/>
      <c r="Z33" s="11"/>
      <c r="AA33" s="11"/>
      <c r="AB33" s="11"/>
      <c r="AC33" s="11"/>
      <c r="AD33" s="11"/>
      <c r="AE33" s="11"/>
      <c r="AF33" s="11"/>
      <c r="AG33" s="10"/>
      <c r="AH33" s="11"/>
      <c r="AI33" s="11"/>
      <c r="AJ33" s="11"/>
      <c r="AK33" s="11"/>
      <c r="AL33" s="11"/>
      <c r="AM33" s="11"/>
      <c r="AN33" s="11"/>
      <c r="AO33" s="11"/>
      <c r="AP33" s="11"/>
      <c r="AQ33" s="11"/>
      <c r="AR33" s="11"/>
      <c r="AS33" s="10"/>
      <c r="AT33" s="11"/>
      <c r="AU33" s="11"/>
      <c r="AV33" s="11"/>
      <c r="AW33" s="11"/>
      <c r="AX33" s="11"/>
      <c r="AY33" s="11"/>
      <c r="AZ33" s="11"/>
      <c r="BA33" s="11"/>
      <c r="BB33" s="11"/>
      <c r="BC33" s="11"/>
      <c r="BD33" s="11"/>
      <c r="BE33" s="10"/>
      <c r="BF33" s="11"/>
      <c r="BG33" s="11"/>
      <c r="BH33" s="11"/>
      <c r="BI33" s="11"/>
      <c r="BJ33" s="11"/>
      <c r="BK33" s="11"/>
      <c r="BL33" s="11"/>
      <c r="BM33" s="11"/>
      <c r="BN33" s="11"/>
      <c r="BO33" s="11"/>
      <c r="BP33" s="11"/>
      <c r="BQ33" s="56"/>
      <c r="BR33" s="56"/>
      <c r="BS33" s="57"/>
      <c r="BT33" s="57"/>
      <c r="BU33" s="61" t="s">
        <v>206</v>
      </c>
      <c r="BV33" s="61"/>
      <c r="BW33" s="61"/>
      <c r="BX33" s="61"/>
      <c r="BY33" s="61" t="s">
        <v>206</v>
      </c>
      <c r="BZ33" s="61"/>
      <c r="CA33" s="61"/>
      <c r="CB33" s="61"/>
      <c r="CC33" s="59"/>
      <c r="CD33" s="59"/>
    </row>
    <row r="34" spans="2:82" ht="30" customHeight="1" x14ac:dyDescent="0.4">
      <c r="B34" s="60"/>
      <c r="C34" s="54"/>
      <c r="D34" s="64"/>
      <c r="E34" s="64"/>
      <c r="F34" s="64"/>
      <c r="G34" s="47" t="s">
        <v>246</v>
      </c>
      <c r="H34" s="47"/>
      <c r="I34" s="13"/>
      <c r="J34" s="12"/>
      <c r="K34" s="12"/>
      <c r="L34" s="12"/>
      <c r="M34" s="12"/>
      <c r="N34" s="12"/>
      <c r="O34" s="12"/>
      <c r="P34" s="12"/>
      <c r="Q34" s="11"/>
      <c r="R34" s="11"/>
      <c r="S34" s="11"/>
      <c r="T34" s="11"/>
      <c r="U34" s="10"/>
      <c r="V34" s="11"/>
      <c r="W34" s="11"/>
      <c r="X34" s="11"/>
      <c r="Y34" s="11"/>
      <c r="Z34" s="11"/>
      <c r="AA34" s="11"/>
      <c r="AB34" s="11"/>
      <c r="AC34" s="11"/>
      <c r="AD34" s="11"/>
      <c r="AE34" s="11"/>
      <c r="AF34" s="11"/>
      <c r="AG34" s="10"/>
      <c r="AH34" s="11"/>
      <c r="AI34" s="11"/>
      <c r="AJ34" s="11"/>
      <c r="AK34" s="11"/>
      <c r="AL34" s="11"/>
      <c r="AM34" s="11"/>
      <c r="AN34" s="11"/>
      <c r="AO34" s="11"/>
      <c r="AP34" s="11"/>
      <c r="AQ34" s="11"/>
      <c r="AR34" s="11"/>
      <c r="AS34" s="10"/>
      <c r="AT34" s="11"/>
      <c r="AU34" s="11"/>
      <c r="AV34" s="11"/>
      <c r="AW34" s="11"/>
      <c r="AX34" s="11"/>
      <c r="AY34" s="11"/>
      <c r="AZ34" s="11"/>
      <c r="BA34" s="11"/>
      <c r="BB34" s="11"/>
      <c r="BC34" s="11"/>
      <c r="BD34" s="11"/>
      <c r="BE34" s="10"/>
      <c r="BF34" s="11"/>
      <c r="BG34" s="11"/>
      <c r="BH34" s="11"/>
      <c r="BI34" s="11"/>
      <c r="BJ34" s="11"/>
      <c r="BK34" s="11"/>
      <c r="BL34" s="11"/>
      <c r="BM34" s="11"/>
      <c r="BN34" s="11"/>
      <c r="BO34" s="11"/>
      <c r="BP34" s="11"/>
      <c r="BQ34" s="56"/>
      <c r="BR34" s="56"/>
      <c r="BS34" s="57"/>
      <c r="BT34" s="57"/>
      <c r="BU34" s="62" t="s">
        <v>209</v>
      </c>
      <c r="BV34" s="62"/>
      <c r="BW34" s="62"/>
      <c r="BX34" s="62"/>
      <c r="BY34" s="62" t="s">
        <v>209</v>
      </c>
      <c r="BZ34" s="62"/>
      <c r="CA34" s="62"/>
      <c r="CB34" s="62"/>
      <c r="CC34" s="59"/>
      <c r="CD34" s="59"/>
    </row>
    <row r="35" spans="2:82" ht="30" customHeight="1" x14ac:dyDescent="0.4">
      <c r="B35" s="8" t="s">
        <v>247</v>
      </c>
      <c r="C35" s="54"/>
      <c r="D35" s="64"/>
      <c r="E35" s="64"/>
      <c r="F35" s="47" t="s">
        <v>248</v>
      </c>
      <c r="G35" s="47" t="s">
        <v>249</v>
      </c>
      <c r="H35" s="47"/>
      <c r="I35" s="13"/>
      <c r="J35" s="12"/>
      <c r="K35" s="12"/>
      <c r="L35" s="12"/>
      <c r="M35" s="12"/>
      <c r="N35" s="12"/>
      <c r="O35" s="12"/>
      <c r="P35" s="11"/>
      <c r="Q35" s="12"/>
      <c r="R35" s="12"/>
      <c r="S35" s="12"/>
      <c r="T35" s="12"/>
      <c r="U35" s="13"/>
      <c r="V35" s="12"/>
      <c r="W35" s="12"/>
      <c r="X35" s="12"/>
      <c r="Y35" s="12"/>
      <c r="Z35" s="12"/>
      <c r="AA35" s="11"/>
      <c r="AB35" s="12"/>
      <c r="AC35" s="12"/>
      <c r="AD35" s="12"/>
      <c r="AE35" s="12"/>
      <c r="AF35" s="12"/>
      <c r="AG35" s="13"/>
      <c r="AH35" s="12"/>
      <c r="AI35" s="12"/>
      <c r="AJ35" s="12"/>
      <c r="AK35" s="12"/>
      <c r="AL35" s="12"/>
      <c r="AM35" s="12"/>
      <c r="AN35" s="12"/>
      <c r="AO35" s="12"/>
      <c r="AP35" s="12"/>
      <c r="AQ35" s="12"/>
      <c r="AR35" s="12"/>
      <c r="AS35" s="13"/>
      <c r="AT35" s="12"/>
      <c r="AU35" s="12"/>
      <c r="AV35" s="12"/>
      <c r="AW35" s="12"/>
      <c r="AX35" s="12"/>
      <c r="AY35" s="12"/>
      <c r="AZ35" s="12"/>
      <c r="BA35" s="12"/>
      <c r="BB35" s="12"/>
      <c r="BC35" s="12"/>
      <c r="BD35" s="12"/>
      <c r="BE35" s="13"/>
      <c r="BF35" s="12"/>
      <c r="BG35" s="12"/>
      <c r="BH35" s="12"/>
      <c r="BI35" s="12"/>
      <c r="BJ35" s="12"/>
      <c r="BK35" s="12"/>
      <c r="BL35" s="12"/>
      <c r="BM35" s="12"/>
      <c r="BN35" s="12"/>
      <c r="BO35" s="12"/>
      <c r="BP35" s="12"/>
      <c r="BQ35" s="56" t="s">
        <v>232</v>
      </c>
      <c r="BR35" s="56" t="s">
        <v>233</v>
      </c>
      <c r="BS35" s="57" t="s">
        <v>250</v>
      </c>
      <c r="BT35" s="57" t="s">
        <v>251</v>
      </c>
      <c r="BU35" s="58" t="s">
        <v>135</v>
      </c>
      <c r="BV35" s="58"/>
      <c r="BW35" s="58"/>
      <c r="BX35" s="58"/>
      <c r="BY35" s="58" t="s">
        <v>236</v>
      </c>
      <c r="BZ35" s="58"/>
      <c r="CA35" s="58"/>
      <c r="CB35" s="58"/>
      <c r="CC35" s="59">
        <f>1*1500</f>
        <v>1500</v>
      </c>
      <c r="CD35" s="59">
        <f>(1*1500)+(2*1500)*1.02^1+(1*1500)*1.02^2+(1*1500)*1.02^3+(1*1500)*1.02^4</f>
        <v>9336.0602400000007</v>
      </c>
    </row>
    <row r="36" spans="2:82" ht="30" customHeight="1" x14ac:dyDescent="0.4">
      <c r="B36" s="49" t="s">
        <v>252</v>
      </c>
      <c r="C36" s="54"/>
      <c r="D36" s="64"/>
      <c r="E36" s="64"/>
      <c r="F36" s="64"/>
      <c r="G36" s="47" t="s">
        <v>253</v>
      </c>
      <c r="H36" s="47"/>
      <c r="I36" s="13"/>
      <c r="J36" s="12"/>
      <c r="K36" s="12"/>
      <c r="L36" s="12"/>
      <c r="M36" s="12"/>
      <c r="N36" s="12"/>
      <c r="O36" s="12"/>
      <c r="P36" s="12"/>
      <c r="Q36" s="11"/>
      <c r="R36" s="12"/>
      <c r="S36" s="12"/>
      <c r="T36" s="12"/>
      <c r="U36" s="13"/>
      <c r="V36" s="12"/>
      <c r="W36" s="12"/>
      <c r="X36" s="12"/>
      <c r="Y36" s="12"/>
      <c r="Z36" s="12"/>
      <c r="AA36" s="12"/>
      <c r="AB36" s="11"/>
      <c r="AC36" s="11"/>
      <c r="AD36" s="12"/>
      <c r="AE36" s="12"/>
      <c r="AF36" s="12"/>
      <c r="AG36" s="13"/>
      <c r="AH36" s="12"/>
      <c r="AI36" s="12"/>
      <c r="AJ36" s="12"/>
      <c r="AK36" s="12"/>
      <c r="AL36" s="12"/>
      <c r="AM36" s="12"/>
      <c r="AN36" s="11"/>
      <c r="AO36" s="12"/>
      <c r="AP36" s="12"/>
      <c r="AQ36" s="12"/>
      <c r="AR36" s="12"/>
      <c r="AS36" s="13"/>
      <c r="AT36" s="12"/>
      <c r="AU36" s="12"/>
      <c r="AV36" s="12"/>
      <c r="AW36" s="12"/>
      <c r="AX36" s="12"/>
      <c r="AY36" s="12"/>
      <c r="AZ36" s="11"/>
      <c r="BA36" s="12"/>
      <c r="BB36" s="12"/>
      <c r="BC36" s="12"/>
      <c r="BD36" s="12"/>
      <c r="BE36" s="13"/>
      <c r="BF36" s="12"/>
      <c r="BG36" s="12"/>
      <c r="BH36" s="12"/>
      <c r="BI36" s="12"/>
      <c r="BJ36" s="12"/>
      <c r="BK36" s="12"/>
      <c r="BL36" s="11"/>
      <c r="BM36" s="12"/>
      <c r="BN36" s="12"/>
      <c r="BO36" s="12"/>
      <c r="BP36" s="12"/>
      <c r="BQ36" s="56"/>
      <c r="BR36" s="56"/>
      <c r="BS36" s="57"/>
      <c r="BT36" s="57"/>
      <c r="BU36" s="61" t="s">
        <v>138</v>
      </c>
      <c r="BV36" s="61"/>
      <c r="BW36" s="61"/>
      <c r="BX36" s="61"/>
      <c r="BY36" s="61" t="s">
        <v>238</v>
      </c>
      <c r="BZ36" s="61"/>
      <c r="CA36" s="61"/>
      <c r="CB36" s="61"/>
      <c r="CC36" s="59"/>
      <c r="CD36" s="59"/>
    </row>
    <row r="37" spans="2:82" ht="30" customHeight="1" x14ac:dyDescent="0.4">
      <c r="B37" s="49"/>
      <c r="C37" s="54"/>
      <c r="D37" s="64"/>
      <c r="E37" s="64"/>
      <c r="F37" s="64"/>
      <c r="G37" s="47" t="s">
        <v>254</v>
      </c>
      <c r="H37" s="47"/>
      <c r="I37" s="13"/>
      <c r="J37" s="12"/>
      <c r="K37" s="12"/>
      <c r="L37" s="12"/>
      <c r="M37" s="12"/>
      <c r="N37" s="12"/>
      <c r="O37" s="12"/>
      <c r="P37" s="12"/>
      <c r="Q37" s="12"/>
      <c r="R37" s="12"/>
      <c r="S37" s="12"/>
      <c r="T37" s="11"/>
      <c r="U37" s="13"/>
      <c r="V37" s="12"/>
      <c r="W37" s="12"/>
      <c r="X37" s="12"/>
      <c r="Y37" s="12"/>
      <c r="Z37" s="12"/>
      <c r="AA37" s="12"/>
      <c r="AB37" s="12"/>
      <c r="AC37" s="12"/>
      <c r="AD37" s="12"/>
      <c r="AE37" s="12"/>
      <c r="AF37" s="11"/>
      <c r="AG37" s="13"/>
      <c r="AH37" s="12"/>
      <c r="AI37" s="12"/>
      <c r="AJ37" s="12"/>
      <c r="AK37" s="12"/>
      <c r="AL37" s="12"/>
      <c r="AM37" s="12"/>
      <c r="AN37" s="12"/>
      <c r="AO37" s="12"/>
      <c r="AP37" s="12"/>
      <c r="AQ37" s="12"/>
      <c r="AR37" s="11"/>
      <c r="AS37" s="13"/>
      <c r="AT37" s="12"/>
      <c r="AU37" s="12"/>
      <c r="AV37" s="12"/>
      <c r="AW37" s="12"/>
      <c r="AX37" s="12"/>
      <c r="AY37" s="12"/>
      <c r="AZ37" s="12"/>
      <c r="BA37" s="12"/>
      <c r="BB37" s="12"/>
      <c r="BC37" s="12"/>
      <c r="BD37" s="11"/>
      <c r="BE37" s="13"/>
      <c r="BF37" s="12"/>
      <c r="BG37" s="12"/>
      <c r="BH37" s="12"/>
      <c r="BI37" s="12"/>
      <c r="BJ37" s="12"/>
      <c r="BK37" s="12"/>
      <c r="BL37" s="12"/>
      <c r="BM37" s="12"/>
      <c r="BN37" s="12"/>
      <c r="BO37" s="12"/>
      <c r="BP37" s="11"/>
      <c r="BQ37" s="56"/>
      <c r="BR37" s="56"/>
      <c r="BS37" s="57"/>
      <c r="BT37" s="57"/>
      <c r="BU37" s="62" t="s">
        <v>140</v>
      </c>
      <c r="BV37" s="62"/>
      <c r="BW37" s="62"/>
      <c r="BX37" s="62"/>
      <c r="BY37" s="62" t="s">
        <v>240</v>
      </c>
      <c r="BZ37" s="62"/>
      <c r="CA37" s="62"/>
      <c r="CB37" s="62"/>
      <c r="CC37" s="59"/>
      <c r="CD37" s="59"/>
    </row>
    <row r="38" spans="2:82" ht="30" customHeight="1" x14ac:dyDescent="0.4">
      <c r="B38" s="49"/>
      <c r="C38" s="54"/>
      <c r="D38" s="55" t="s">
        <v>255</v>
      </c>
      <c r="E38" s="49" t="s">
        <v>256</v>
      </c>
      <c r="F38" s="49" t="s">
        <v>257</v>
      </c>
      <c r="G38" s="47" t="s">
        <v>258</v>
      </c>
      <c r="H38" s="47"/>
      <c r="I38" s="10"/>
      <c r="J38" s="12"/>
      <c r="K38" s="12"/>
      <c r="L38" s="12"/>
      <c r="M38" s="12"/>
      <c r="N38" s="12"/>
      <c r="O38" s="12"/>
      <c r="P38" s="12"/>
      <c r="Q38" s="12"/>
      <c r="R38" s="12"/>
      <c r="S38" s="12"/>
      <c r="T38" s="12"/>
      <c r="U38" s="10"/>
      <c r="V38" s="12"/>
      <c r="W38" s="12"/>
      <c r="X38" s="12"/>
      <c r="Y38" s="12"/>
      <c r="Z38" s="12"/>
      <c r="AA38" s="12"/>
      <c r="AB38" s="12"/>
      <c r="AC38" s="12"/>
      <c r="AD38" s="12"/>
      <c r="AE38" s="12"/>
      <c r="AF38" s="12"/>
      <c r="AG38" s="10"/>
      <c r="AH38" s="12"/>
      <c r="AI38" s="12"/>
      <c r="AJ38" s="12"/>
      <c r="AK38" s="12"/>
      <c r="AL38" s="12"/>
      <c r="AM38" s="12"/>
      <c r="AN38" s="12"/>
      <c r="AO38" s="12"/>
      <c r="AP38" s="12"/>
      <c r="AQ38" s="12"/>
      <c r="AR38" s="12"/>
      <c r="AS38" s="10"/>
      <c r="AT38" s="12"/>
      <c r="AU38" s="12"/>
      <c r="AV38" s="12"/>
      <c r="AW38" s="12"/>
      <c r="AX38" s="12"/>
      <c r="AY38" s="12"/>
      <c r="AZ38" s="12"/>
      <c r="BA38" s="12"/>
      <c r="BB38" s="12"/>
      <c r="BC38" s="12"/>
      <c r="BD38" s="12"/>
      <c r="BE38" s="10"/>
      <c r="BF38" s="12"/>
      <c r="BG38" s="12"/>
      <c r="BH38" s="12"/>
      <c r="BI38" s="12"/>
      <c r="BJ38" s="12"/>
      <c r="BK38" s="12"/>
      <c r="BL38" s="12"/>
      <c r="BM38" s="12"/>
      <c r="BN38" s="12"/>
      <c r="BO38" s="12"/>
      <c r="BP38" s="12"/>
      <c r="BQ38" s="56" t="s">
        <v>259</v>
      </c>
      <c r="BR38" s="56" t="s">
        <v>260</v>
      </c>
      <c r="BS38" s="57" t="s">
        <v>261</v>
      </c>
      <c r="BT38" s="57" t="s">
        <v>262</v>
      </c>
      <c r="BU38" s="58" t="s">
        <v>263</v>
      </c>
      <c r="BV38" s="58"/>
      <c r="BW38" s="58"/>
      <c r="BX38" s="58"/>
      <c r="BY38" s="58" t="s">
        <v>264</v>
      </c>
      <c r="BZ38" s="58"/>
      <c r="CA38" s="58"/>
      <c r="CB38" s="58"/>
      <c r="CC38" s="59">
        <f>11*800+1*1500</f>
        <v>10300</v>
      </c>
      <c r="CD38" s="59">
        <f>(11*800+1*1500)+(12*800)*1.02^1+(12*800)*1.02^2+(12*800)*1.02^3+(12*800)*1.02^4</f>
        <v>50658.785535999996</v>
      </c>
    </row>
    <row r="39" spans="2:82" ht="30" customHeight="1" x14ac:dyDescent="0.4">
      <c r="B39" s="49"/>
      <c r="C39" s="54"/>
      <c r="D39" s="55"/>
      <c r="E39" s="55"/>
      <c r="F39" s="55"/>
      <c r="G39" s="47" t="s">
        <v>265</v>
      </c>
      <c r="H39" s="47"/>
      <c r="I39" s="13"/>
      <c r="J39" s="11"/>
      <c r="K39" s="11"/>
      <c r="L39" s="11"/>
      <c r="M39" s="11"/>
      <c r="N39" s="11"/>
      <c r="O39" s="11"/>
      <c r="P39" s="11"/>
      <c r="Q39" s="11"/>
      <c r="R39" s="11"/>
      <c r="S39" s="11"/>
      <c r="T39" s="11"/>
      <c r="U39" s="10"/>
      <c r="V39" s="11"/>
      <c r="W39" s="11"/>
      <c r="X39" s="11"/>
      <c r="Y39" s="11"/>
      <c r="Z39" s="11"/>
      <c r="AA39" s="11"/>
      <c r="AB39" s="11"/>
      <c r="AC39" s="11"/>
      <c r="AD39" s="11"/>
      <c r="AE39" s="11"/>
      <c r="AF39" s="11"/>
      <c r="AG39" s="10"/>
      <c r="AH39" s="11"/>
      <c r="AI39" s="11"/>
      <c r="AJ39" s="11"/>
      <c r="AK39" s="11"/>
      <c r="AL39" s="11"/>
      <c r="AM39" s="11"/>
      <c r="AN39" s="11"/>
      <c r="AO39" s="11"/>
      <c r="AP39" s="11"/>
      <c r="AQ39" s="11"/>
      <c r="AR39" s="11"/>
      <c r="AS39" s="10"/>
      <c r="AT39" s="11"/>
      <c r="AU39" s="11"/>
      <c r="AV39" s="11"/>
      <c r="AW39" s="11"/>
      <c r="AX39" s="11"/>
      <c r="AY39" s="11"/>
      <c r="AZ39" s="11"/>
      <c r="BA39" s="11"/>
      <c r="BB39" s="11"/>
      <c r="BC39" s="11"/>
      <c r="BD39" s="11"/>
      <c r="BE39" s="10"/>
      <c r="BF39" s="11"/>
      <c r="BG39" s="11"/>
      <c r="BH39" s="11"/>
      <c r="BI39" s="11"/>
      <c r="BJ39" s="11"/>
      <c r="BK39" s="11"/>
      <c r="BL39" s="11"/>
      <c r="BM39" s="11"/>
      <c r="BN39" s="11"/>
      <c r="BO39" s="11"/>
      <c r="BP39" s="11"/>
      <c r="BQ39" s="56"/>
      <c r="BR39" s="56"/>
      <c r="BS39" s="57"/>
      <c r="BT39" s="57"/>
      <c r="BU39" s="61" t="s">
        <v>266</v>
      </c>
      <c r="BV39" s="61"/>
      <c r="BW39" s="61"/>
      <c r="BX39" s="61"/>
      <c r="BY39" s="61" t="s">
        <v>267</v>
      </c>
      <c r="BZ39" s="61"/>
      <c r="CA39" s="61"/>
      <c r="CB39" s="61"/>
      <c r="CC39" s="59"/>
      <c r="CD39" s="59"/>
    </row>
    <row r="40" spans="2:82" ht="30" customHeight="1" x14ac:dyDescent="0.4">
      <c r="B40" s="49"/>
      <c r="C40" s="54"/>
      <c r="D40" s="55"/>
      <c r="E40" s="55"/>
      <c r="F40" s="55"/>
      <c r="G40" s="47" t="s">
        <v>268</v>
      </c>
      <c r="H40" s="47"/>
      <c r="I40" s="13"/>
      <c r="J40" s="11"/>
      <c r="K40" s="11"/>
      <c r="L40" s="11"/>
      <c r="M40" s="11"/>
      <c r="N40" s="11"/>
      <c r="O40" s="11"/>
      <c r="P40" s="11"/>
      <c r="Q40" s="11"/>
      <c r="R40" s="11"/>
      <c r="S40" s="11"/>
      <c r="T40" s="11"/>
      <c r="U40" s="10"/>
      <c r="V40" s="11"/>
      <c r="W40" s="11"/>
      <c r="X40" s="11"/>
      <c r="Y40" s="11"/>
      <c r="Z40" s="11"/>
      <c r="AA40" s="11"/>
      <c r="AB40" s="11"/>
      <c r="AC40" s="11"/>
      <c r="AD40" s="11"/>
      <c r="AE40" s="11"/>
      <c r="AF40" s="11"/>
      <c r="AG40" s="10"/>
      <c r="AH40" s="11"/>
      <c r="AI40" s="11"/>
      <c r="AJ40" s="11"/>
      <c r="AK40" s="11"/>
      <c r="AL40" s="11"/>
      <c r="AM40" s="11"/>
      <c r="AN40" s="11"/>
      <c r="AO40" s="11"/>
      <c r="AP40" s="11"/>
      <c r="AQ40" s="11"/>
      <c r="AR40" s="11"/>
      <c r="AS40" s="10"/>
      <c r="AT40" s="11"/>
      <c r="AU40" s="11"/>
      <c r="AV40" s="11"/>
      <c r="AW40" s="11"/>
      <c r="AX40" s="11"/>
      <c r="AY40" s="11"/>
      <c r="AZ40" s="11"/>
      <c r="BA40" s="11"/>
      <c r="BB40" s="11"/>
      <c r="BC40" s="11"/>
      <c r="BD40" s="11"/>
      <c r="BE40" s="10"/>
      <c r="BF40" s="11"/>
      <c r="BG40" s="11"/>
      <c r="BH40" s="11"/>
      <c r="BI40" s="11"/>
      <c r="BJ40" s="11"/>
      <c r="BK40" s="11"/>
      <c r="BL40" s="11"/>
      <c r="BM40" s="11"/>
      <c r="BN40" s="11"/>
      <c r="BO40" s="11"/>
      <c r="BP40" s="11"/>
      <c r="BQ40" s="56"/>
      <c r="BR40" s="56"/>
      <c r="BS40" s="57"/>
      <c r="BT40" s="57"/>
      <c r="BU40" s="62" t="s">
        <v>269</v>
      </c>
      <c r="BV40" s="62"/>
      <c r="BW40" s="62"/>
      <c r="BX40" s="62"/>
      <c r="BY40" s="62" t="s">
        <v>270</v>
      </c>
      <c r="BZ40" s="62"/>
      <c r="CA40" s="62"/>
      <c r="CB40" s="62"/>
      <c r="CC40" s="59"/>
      <c r="CD40" s="59"/>
    </row>
    <row r="41" spans="2:82" ht="30" customHeight="1" x14ac:dyDescent="0.4">
      <c r="B41" s="49"/>
      <c r="C41" s="54"/>
      <c r="D41" s="55"/>
      <c r="E41" s="55"/>
      <c r="F41" s="49" t="s">
        <v>271</v>
      </c>
      <c r="G41" s="47" t="s">
        <v>272</v>
      </c>
      <c r="H41" s="47"/>
      <c r="I41" s="10"/>
      <c r="J41" s="11"/>
      <c r="K41" s="11"/>
      <c r="L41" s="11"/>
      <c r="M41" s="11"/>
      <c r="N41" s="11"/>
      <c r="O41" s="11"/>
      <c r="P41" s="11"/>
      <c r="Q41" s="11"/>
      <c r="R41" s="11"/>
      <c r="S41" s="11"/>
      <c r="T41" s="11"/>
      <c r="U41" s="10"/>
      <c r="V41" s="11"/>
      <c r="W41" s="11"/>
      <c r="X41" s="11"/>
      <c r="Y41" s="11"/>
      <c r="Z41" s="11"/>
      <c r="AA41" s="11"/>
      <c r="AB41" s="11"/>
      <c r="AC41" s="11"/>
      <c r="AD41" s="11"/>
      <c r="AE41" s="11"/>
      <c r="AF41" s="11"/>
      <c r="AG41" s="10"/>
      <c r="AH41" s="11"/>
      <c r="AI41" s="11"/>
      <c r="AJ41" s="11"/>
      <c r="AK41" s="11"/>
      <c r="AL41" s="11"/>
      <c r="AM41" s="11"/>
      <c r="AN41" s="11"/>
      <c r="AO41" s="11"/>
      <c r="AP41" s="11"/>
      <c r="AQ41" s="11"/>
      <c r="AR41" s="11"/>
      <c r="AS41" s="10"/>
      <c r="AT41" s="11"/>
      <c r="AU41" s="11"/>
      <c r="AV41" s="11"/>
      <c r="AW41" s="11"/>
      <c r="AX41" s="11"/>
      <c r="AY41" s="11"/>
      <c r="AZ41" s="11"/>
      <c r="BA41" s="11"/>
      <c r="BB41" s="11"/>
      <c r="BC41" s="11"/>
      <c r="BD41" s="11"/>
      <c r="BE41" s="10"/>
      <c r="BF41" s="11"/>
      <c r="BG41" s="11"/>
      <c r="BH41" s="11"/>
      <c r="BI41" s="11"/>
      <c r="BJ41" s="11"/>
      <c r="BK41" s="11"/>
      <c r="BL41" s="11"/>
      <c r="BM41" s="11"/>
      <c r="BN41" s="11"/>
      <c r="BO41" s="11"/>
      <c r="BP41" s="11"/>
      <c r="BQ41" s="56" t="s">
        <v>273</v>
      </c>
      <c r="BR41" s="56" t="s">
        <v>274</v>
      </c>
      <c r="BS41" s="57" t="s">
        <v>275</v>
      </c>
      <c r="BT41" s="57" t="s">
        <v>276</v>
      </c>
      <c r="BU41" s="58" t="s">
        <v>236</v>
      </c>
      <c r="BV41" s="58"/>
      <c r="BW41" s="58"/>
      <c r="BX41" s="58"/>
      <c r="BY41" s="58" t="s">
        <v>277</v>
      </c>
      <c r="BZ41" s="58"/>
      <c r="CA41" s="58"/>
      <c r="CB41" s="58"/>
      <c r="CC41" s="59">
        <f>12*1000+1*800</f>
        <v>12800</v>
      </c>
      <c r="CD41" s="59">
        <f>(12*1000+1*800)+(12*1000+1*800)*1.02^1+(12*1000+1*800)*1.02^2+(12*1000+1*800)*1.02^3+(12*1000+1*800)*1.02^4</f>
        <v>66611.714047999994</v>
      </c>
    </row>
    <row r="42" spans="2:82" ht="30" customHeight="1" x14ac:dyDescent="0.4">
      <c r="B42" s="49"/>
      <c r="C42" s="54"/>
      <c r="D42" s="55"/>
      <c r="E42" s="55"/>
      <c r="F42" s="55"/>
      <c r="G42" s="47" t="s">
        <v>278</v>
      </c>
      <c r="H42" s="47"/>
      <c r="I42" s="10"/>
      <c r="J42" s="11"/>
      <c r="K42" s="11"/>
      <c r="L42" s="11"/>
      <c r="M42" s="11"/>
      <c r="N42" s="11"/>
      <c r="O42" s="11"/>
      <c r="P42" s="11"/>
      <c r="Q42" s="11"/>
      <c r="R42" s="11"/>
      <c r="S42" s="11"/>
      <c r="T42" s="11"/>
      <c r="U42" s="10"/>
      <c r="V42" s="11"/>
      <c r="W42" s="11"/>
      <c r="X42" s="11"/>
      <c r="Y42" s="11"/>
      <c r="Z42" s="11"/>
      <c r="AA42" s="11"/>
      <c r="AB42" s="11"/>
      <c r="AC42" s="11"/>
      <c r="AD42" s="11"/>
      <c r="AE42" s="11"/>
      <c r="AF42" s="11"/>
      <c r="AG42" s="10"/>
      <c r="AH42" s="11"/>
      <c r="AI42" s="11"/>
      <c r="AJ42" s="11"/>
      <c r="AK42" s="11"/>
      <c r="AL42" s="11"/>
      <c r="AM42" s="11"/>
      <c r="AN42" s="11"/>
      <c r="AO42" s="11"/>
      <c r="AP42" s="11"/>
      <c r="AQ42" s="11"/>
      <c r="AR42" s="11"/>
      <c r="AS42" s="10"/>
      <c r="AT42" s="11"/>
      <c r="AU42" s="11"/>
      <c r="AV42" s="11"/>
      <c r="AW42" s="11"/>
      <c r="AX42" s="11"/>
      <c r="AY42" s="11"/>
      <c r="AZ42" s="11"/>
      <c r="BA42" s="11"/>
      <c r="BB42" s="11"/>
      <c r="BC42" s="11"/>
      <c r="BD42" s="11"/>
      <c r="BE42" s="10"/>
      <c r="BF42" s="11"/>
      <c r="BG42" s="11"/>
      <c r="BH42" s="11"/>
      <c r="BI42" s="11"/>
      <c r="BJ42" s="11"/>
      <c r="BK42" s="11"/>
      <c r="BL42" s="11"/>
      <c r="BM42" s="11"/>
      <c r="BN42" s="11"/>
      <c r="BO42" s="11"/>
      <c r="BP42" s="11"/>
      <c r="BQ42" s="56"/>
      <c r="BR42" s="56"/>
      <c r="BS42" s="57"/>
      <c r="BT42" s="57"/>
      <c r="BU42" s="61" t="s">
        <v>238</v>
      </c>
      <c r="BV42" s="61"/>
      <c r="BW42" s="61"/>
      <c r="BX42" s="61"/>
      <c r="BY42" s="61" t="s">
        <v>279</v>
      </c>
      <c r="BZ42" s="61"/>
      <c r="CA42" s="61"/>
      <c r="CB42" s="61"/>
      <c r="CC42" s="59"/>
      <c r="CD42" s="59"/>
    </row>
    <row r="43" spans="2:82" ht="30" customHeight="1" x14ac:dyDescent="0.4">
      <c r="B43" s="49"/>
      <c r="C43" s="54"/>
      <c r="D43" s="55"/>
      <c r="E43" s="55"/>
      <c r="F43" s="55"/>
      <c r="G43" s="47" t="s">
        <v>280</v>
      </c>
      <c r="H43" s="47"/>
      <c r="I43" s="10"/>
      <c r="J43" s="11"/>
      <c r="K43" s="11"/>
      <c r="L43" s="11"/>
      <c r="M43" s="11"/>
      <c r="N43" s="11"/>
      <c r="O43" s="11"/>
      <c r="P43" s="11"/>
      <c r="Q43" s="11"/>
      <c r="R43" s="11"/>
      <c r="S43" s="11"/>
      <c r="T43" s="11"/>
      <c r="U43" s="10"/>
      <c r="V43" s="11"/>
      <c r="W43" s="11"/>
      <c r="X43" s="11"/>
      <c r="Y43" s="11"/>
      <c r="Z43" s="11"/>
      <c r="AA43" s="11"/>
      <c r="AB43" s="11"/>
      <c r="AC43" s="11"/>
      <c r="AD43" s="11"/>
      <c r="AE43" s="11"/>
      <c r="AF43" s="11"/>
      <c r="AG43" s="10"/>
      <c r="AH43" s="11"/>
      <c r="AI43" s="11"/>
      <c r="AJ43" s="11"/>
      <c r="AK43" s="11"/>
      <c r="AL43" s="11"/>
      <c r="AM43" s="11"/>
      <c r="AN43" s="11"/>
      <c r="AO43" s="11"/>
      <c r="AP43" s="11"/>
      <c r="AQ43" s="11"/>
      <c r="AR43" s="11"/>
      <c r="AS43" s="10"/>
      <c r="AT43" s="11"/>
      <c r="AU43" s="11"/>
      <c r="AV43" s="11"/>
      <c r="AW43" s="11"/>
      <c r="AX43" s="11"/>
      <c r="AY43" s="11"/>
      <c r="AZ43" s="11"/>
      <c r="BA43" s="11"/>
      <c r="BB43" s="11"/>
      <c r="BC43" s="11"/>
      <c r="BD43" s="11"/>
      <c r="BE43" s="10"/>
      <c r="BF43" s="11"/>
      <c r="BG43" s="11"/>
      <c r="BH43" s="11"/>
      <c r="BI43" s="11"/>
      <c r="BJ43" s="11"/>
      <c r="BK43" s="11"/>
      <c r="BL43" s="11"/>
      <c r="BM43" s="11"/>
      <c r="BN43" s="11"/>
      <c r="BO43" s="11"/>
      <c r="BP43" s="11"/>
      <c r="BQ43" s="56"/>
      <c r="BR43" s="56"/>
      <c r="BS43" s="57"/>
      <c r="BT43" s="57"/>
      <c r="BU43" s="62" t="s">
        <v>240</v>
      </c>
      <c r="BV43" s="62"/>
      <c r="BW43" s="62"/>
      <c r="BX43" s="62"/>
      <c r="BY43" s="62" t="s">
        <v>281</v>
      </c>
      <c r="BZ43" s="62"/>
      <c r="CA43" s="62"/>
      <c r="CB43" s="62"/>
      <c r="CC43" s="59"/>
      <c r="CD43" s="59"/>
    </row>
    <row r="44" spans="2:82" ht="30" customHeight="1" x14ac:dyDescent="0.4">
      <c r="B44" s="49"/>
      <c r="C44" s="54"/>
      <c r="D44" s="55"/>
      <c r="E44" s="55"/>
      <c r="F44" s="49" t="s">
        <v>282</v>
      </c>
      <c r="G44" s="47" t="s">
        <v>283</v>
      </c>
      <c r="H44" s="47"/>
      <c r="I44" s="13"/>
      <c r="J44" s="11"/>
      <c r="K44" s="11"/>
      <c r="L44" s="11"/>
      <c r="M44" s="11"/>
      <c r="N44" s="11"/>
      <c r="O44" s="11"/>
      <c r="P44" s="11"/>
      <c r="Q44" s="11"/>
      <c r="R44" s="11"/>
      <c r="S44" s="11"/>
      <c r="T44" s="11"/>
      <c r="U44" s="10"/>
      <c r="V44" s="11"/>
      <c r="W44" s="11"/>
      <c r="X44" s="11"/>
      <c r="Y44" s="11"/>
      <c r="Z44" s="11"/>
      <c r="AA44" s="11"/>
      <c r="AB44" s="11"/>
      <c r="AC44" s="11"/>
      <c r="AD44" s="11"/>
      <c r="AE44" s="11"/>
      <c r="AF44" s="11"/>
      <c r="AG44" s="10"/>
      <c r="AH44" s="11"/>
      <c r="AI44" s="11"/>
      <c r="AJ44" s="11"/>
      <c r="AK44" s="11"/>
      <c r="AL44" s="11"/>
      <c r="AM44" s="11"/>
      <c r="AN44" s="11"/>
      <c r="AO44" s="11"/>
      <c r="AP44" s="11"/>
      <c r="AQ44" s="11"/>
      <c r="AR44" s="11"/>
      <c r="AS44" s="10"/>
      <c r="AT44" s="11"/>
      <c r="AU44" s="11"/>
      <c r="AV44" s="11"/>
      <c r="AW44" s="11"/>
      <c r="AX44" s="11"/>
      <c r="AY44" s="11"/>
      <c r="AZ44" s="11"/>
      <c r="BA44" s="11"/>
      <c r="BB44" s="11"/>
      <c r="BC44" s="11"/>
      <c r="BD44" s="11"/>
      <c r="BE44" s="10"/>
      <c r="BF44" s="11"/>
      <c r="BG44" s="11"/>
      <c r="BH44" s="11"/>
      <c r="BI44" s="11"/>
      <c r="BJ44" s="11"/>
      <c r="BK44" s="11"/>
      <c r="BL44" s="11"/>
      <c r="BM44" s="11"/>
      <c r="BN44" s="11"/>
      <c r="BO44" s="11"/>
      <c r="BP44" s="11"/>
      <c r="BQ44" s="56" t="s">
        <v>284</v>
      </c>
      <c r="BR44" s="56" t="s">
        <v>284</v>
      </c>
      <c r="BS44" s="57" t="s">
        <v>285</v>
      </c>
      <c r="BT44" s="57" t="s">
        <v>285</v>
      </c>
      <c r="BU44" s="58" t="s">
        <v>203</v>
      </c>
      <c r="BV44" s="58"/>
      <c r="BW44" s="58"/>
      <c r="BX44" s="58"/>
      <c r="BY44" s="58" t="s">
        <v>203</v>
      </c>
      <c r="BZ44" s="58"/>
      <c r="CA44" s="58"/>
      <c r="CB44" s="58"/>
      <c r="CC44" s="59">
        <f>11*60</f>
        <v>660</v>
      </c>
      <c r="CD44" s="59">
        <f>(11*60)+(12*60)*1.02^1+(12*60)*1.02^2+(12*60)*1.02^3+(12*60)*1.02^4</f>
        <v>3686.9089152000001</v>
      </c>
    </row>
    <row r="45" spans="2:82" ht="30" customHeight="1" x14ac:dyDescent="0.4">
      <c r="B45" s="49"/>
      <c r="C45" s="54"/>
      <c r="D45" s="55"/>
      <c r="E45" s="55"/>
      <c r="F45" s="55"/>
      <c r="G45" s="47" t="s">
        <v>286</v>
      </c>
      <c r="H45" s="47"/>
      <c r="I45" s="13"/>
      <c r="J45" s="11"/>
      <c r="K45" s="11"/>
      <c r="L45" s="11"/>
      <c r="M45" s="11"/>
      <c r="N45" s="11"/>
      <c r="O45" s="11"/>
      <c r="P45" s="11"/>
      <c r="Q45" s="11"/>
      <c r="R45" s="11"/>
      <c r="S45" s="11"/>
      <c r="T45" s="11"/>
      <c r="U45" s="10"/>
      <c r="V45" s="11"/>
      <c r="W45" s="11"/>
      <c r="X45" s="11"/>
      <c r="Y45" s="11"/>
      <c r="Z45" s="11"/>
      <c r="AA45" s="11"/>
      <c r="AB45" s="11"/>
      <c r="AC45" s="11"/>
      <c r="AD45" s="11"/>
      <c r="AE45" s="11"/>
      <c r="AF45" s="11"/>
      <c r="AG45" s="10"/>
      <c r="AH45" s="11"/>
      <c r="AI45" s="11"/>
      <c r="AJ45" s="11"/>
      <c r="AK45" s="11"/>
      <c r="AL45" s="11"/>
      <c r="AM45" s="11"/>
      <c r="AN45" s="11"/>
      <c r="AO45" s="11"/>
      <c r="AP45" s="11"/>
      <c r="AQ45" s="11"/>
      <c r="AR45" s="11"/>
      <c r="AS45" s="10"/>
      <c r="AT45" s="11"/>
      <c r="AU45" s="11"/>
      <c r="AV45" s="11"/>
      <c r="AW45" s="11"/>
      <c r="AX45" s="11"/>
      <c r="AY45" s="11"/>
      <c r="AZ45" s="11"/>
      <c r="BA45" s="11"/>
      <c r="BB45" s="11"/>
      <c r="BC45" s="11"/>
      <c r="BD45" s="11"/>
      <c r="BE45" s="10"/>
      <c r="BF45" s="11"/>
      <c r="BG45" s="11"/>
      <c r="BH45" s="11"/>
      <c r="BI45" s="11"/>
      <c r="BJ45" s="11"/>
      <c r="BK45" s="11"/>
      <c r="BL45" s="11"/>
      <c r="BM45" s="11"/>
      <c r="BN45" s="11"/>
      <c r="BO45" s="11"/>
      <c r="BP45" s="11"/>
      <c r="BQ45" s="56"/>
      <c r="BR45" s="56"/>
      <c r="BS45" s="57"/>
      <c r="BT45" s="57"/>
      <c r="BU45" s="61" t="s">
        <v>206</v>
      </c>
      <c r="BV45" s="61"/>
      <c r="BW45" s="61"/>
      <c r="BX45" s="61"/>
      <c r="BY45" s="61" t="s">
        <v>206</v>
      </c>
      <c r="BZ45" s="61"/>
      <c r="CA45" s="61"/>
      <c r="CB45" s="61"/>
      <c r="CC45" s="59"/>
      <c r="CD45" s="59"/>
    </row>
    <row r="46" spans="2:82" ht="30" customHeight="1" x14ac:dyDescent="0.4">
      <c r="B46" s="49"/>
      <c r="C46" s="54"/>
      <c r="D46" s="55"/>
      <c r="E46" s="55"/>
      <c r="F46" s="55"/>
      <c r="G46" s="47" t="s">
        <v>287</v>
      </c>
      <c r="H46" s="47"/>
      <c r="I46" s="13"/>
      <c r="J46" s="12"/>
      <c r="K46" s="11"/>
      <c r="L46" s="11"/>
      <c r="M46" s="11"/>
      <c r="N46" s="11"/>
      <c r="O46" s="11"/>
      <c r="P46" s="11"/>
      <c r="Q46" s="11"/>
      <c r="R46" s="11"/>
      <c r="S46" s="11"/>
      <c r="T46" s="11"/>
      <c r="U46" s="10"/>
      <c r="V46" s="11"/>
      <c r="W46" s="11"/>
      <c r="X46" s="11"/>
      <c r="Y46" s="11"/>
      <c r="Z46" s="11"/>
      <c r="AA46" s="11"/>
      <c r="AB46" s="11"/>
      <c r="AC46" s="11"/>
      <c r="AD46" s="11"/>
      <c r="AE46" s="11"/>
      <c r="AF46" s="11"/>
      <c r="AG46" s="10"/>
      <c r="AH46" s="11"/>
      <c r="AI46" s="11"/>
      <c r="AJ46" s="11"/>
      <c r="AK46" s="11"/>
      <c r="AL46" s="11"/>
      <c r="AM46" s="11"/>
      <c r="AN46" s="11"/>
      <c r="AO46" s="11"/>
      <c r="AP46" s="11"/>
      <c r="AQ46" s="11"/>
      <c r="AR46" s="11"/>
      <c r="AS46" s="10"/>
      <c r="AT46" s="11"/>
      <c r="AU46" s="11"/>
      <c r="AV46" s="11"/>
      <c r="AW46" s="11"/>
      <c r="AX46" s="11"/>
      <c r="AY46" s="11"/>
      <c r="AZ46" s="11"/>
      <c r="BA46" s="11"/>
      <c r="BB46" s="11"/>
      <c r="BC46" s="11"/>
      <c r="BD46" s="11"/>
      <c r="BE46" s="10"/>
      <c r="BF46" s="11"/>
      <c r="BG46" s="11"/>
      <c r="BH46" s="11"/>
      <c r="BI46" s="11"/>
      <c r="BJ46" s="11"/>
      <c r="BK46" s="11"/>
      <c r="BL46" s="11"/>
      <c r="BM46" s="11"/>
      <c r="BN46" s="11"/>
      <c r="BO46" s="11"/>
      <c r="BP46" s="11"/>
      <c r="BQ46" s="56"/>
      <c r="BR46" s="56"/>
      <c r="BS46" s="57"/>
      <c r="BT46" s="57"/>
      <c r="BU46" s="62" t="s">
        <v>209</v>
      </c>
      <c r="BV46" s="62"/>
      <c r="BW46" s="62"/>
      <c r="BX46" s="62"/>
      <c r="BY46" s="62" t="s">
        <v>209</v>
      </c>
      <c r="BZ46" s="62"/>
      <c r="CA46" s="62"/>
      <c r="CB46" s="62"/>
      <c r="CC46" s="59"/>
      <c r="CD46" s="59"/>
    </row>
    <row r="47" spans="2:82" ht="19.5" customHeight="1" x14ac:dyDescent="0.4">
      <c r="B47" s="65" t="s">
        <v>288</v>
      </c>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14">
        <f>SUM(CC5:CC46)</f>
        <v>61720</v>
      </c>
      <c r="CD47" s="14">
        <f>SUM(CD5:CD46)</f>
        <v>312118.40504799999</v>
      </c>
    </row>
    <row r="48" spans="2:82" ht="30" customHeight="1" x14ac:dyDescent="0.4">
      <c r="B48" s="66" t="s">
        <v>289</v>
      </c>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row>
  </sheetData>
  <mergeCells count="266">
    <mergeCell ref="B47:CB47"/>
    <mergeCell ref="B48:CD48"/>
    <mergeCell ref="CC41:CC43"/>
    <mergeCell ref="CD41:CD43"/>
    <mergeCell ref="G42:H42"/>
    <mergeCell ref="BU42:BX42"/>
    <mergeCell ref="BY42:CB42"/>
    <mergeCell ref="G43:H43"/>
    <mergeCell ref="BU43:BX43"/>
    <mergeCell ref="BY43:CB43"/>
    <mergeCell ref="F44:F46"/>
    <mergeCell ref="G44:H44"/>
    <mergeCell ref="BQ44:BQ46"/>
    <mergeCell ref="BR44:BR46"/>
    <mergeCell ref="BS44:BS46"/>
    <mergeCell ref="BT44:BT46"/>
    <mergeCell ref="BU44:BX44"/>
    <mergeCell ref="BY44:CB44"/>
    <mergeCell ref="CC44:CC46"/>
    <mergeCell ref="CD44:CD46"/>
    <mergeCell ref="G45:H45"/>
    <mergeCell ref="BU45:BX45"/>
    <mergeCell ref="BY45:CB45"/>
    <mergeCell ref="G46:H46"/>
    <mergeCell ref="BU46:BX46"/>
    <mergeCell ref="BY46:CB46"/>
    <mergeCell ref="G40:H40"/>
    <mergeCell ref="BU40:BX40"/>
    <mergeCell ref="BY40:CB40"/>
    <mergeCell ref="F41:F43"/>
    <mergeCell ref="G41:H41"/>
    <mergeCell ref="BQ41:BQ43"/>
    <mergeCell ref="BR41:BR43"/>
    <mergeCell ref="BS41:BS43"/>
    <mergeCell ref="BT41:BT43"/>
    <mergeCell ref="BU41:BX41"/>
    <mergeCell ref="BY41:CB41"/>
    <mergeCell ref="CC35:CC37"/>
    <mergeCell ref="CD35:CD37"/>
    <mergeCell ref="B36:B46"/>
    <mergeCell ref="G36:H36"/>
    <mergeCell ref="BU36:BX36"/>
    <mergeCell ref="BY36:CB36"/>
    <mergeCell ref="G37:H37"/>
    <mergeCell ref="BU37:BX37"/>
    <mergeCell ref="BY37:CB37"/>
    <mergeCell ref="D38:D46"/>
    <mergeCell ref="E38:E46"/>
    <mergeCell ref="F38:F40"/>
    <mergeCell ref="G38:H38"/>
    <mergeCell ref="BQ38:BQ40"/>
    <mergeCell ref="BR38:BR40"/>
    <mergeCell ref="BS38:BS40"/>
    <mergeCell ref="BT38:BT40"/>
    <mergeCell ref="BU38:BX38"/>
    <mergeCell ref="BY38:CB38"/>
    <mergeCell ref="CC38:CC40"/>
    <mergeCell ref="CD38:CD40"/>
    <mergeCell ref="G39:H39"/>
    <mergeCell ref="BU39:BX39"/>
    <mergeCell ref="BY39:CB39"/>
    <mergeCell ref="CC29:CC31"/>
    <mergeCell ref="CD29:CD31"/>
    <mergeCell ref="G30:H30"/>
    <mergeCell ref="BU30:BX30"/>
    <mergeCell ref="BY30:CB30"/>
    <mergeCell ref="G31:H31"/>
    <mergeCell ref="BU31:BX31"/>
    <mergeCell ref="BY31:CB31"/>
    <mergeCell ref="F32:F34"/>
    <mergeCell ref="G32:H32"/>
    <mergeCell ref="BQ32:BQ34"/>
    <mergeCell ref="BR32:BR34"/>
    <mergeCell ref="BS32:BS34"/>
    <mergeCell ref="BT32:BT34"/>
    <mergeCell ref="BU32:BX32"/>
    <mergeCell ref="BY32:CB32"/>
    <mergeCell ref="CC32:CC34"/>
    <mergeCell ref="CD32:CD34"/>
    <mergeCell ref="G33:H33"/>
    <mergeCell ref="BU33:BX33"/>
    <mergeCell ref="BY33:CB33"/>
    <mergeCell ref="G34:H34"/>
    <mergeCell ref="BU34:BX34"/>
    <mergeCell ref="BY34:CB34"/>
    <mergeCell ref="BY28:CB28"/>
    <mergeCell ref="D29:D37"/>
    <mergeCell ref="E29:E37"/>
    <mergeCell ref="F29:F31"/>
    <mergeCell ref="G29:H29"/>
    <mergeCell ref="BQ29:BQ31"/>
    <mergeCell ref="BR29:BR31"/>
    <mergeCell ref="BS29:BS31"/>
    <mergeCell ref="BT29:BT31"/>
    <mergeCell ref="BU29:BX29"/>
    <mergeCell ref="BY29:CB29"/>
    <mergeCell ref="F35:F37"/>
    <mergeCell ref="G35:H35"/>
    <mergeCell ref="BQ35:BQ37"/>
    <mergeCell ref="BR35:BR37"/>
    <mergeCell ref="BS35:BS37"/>
    <mergeCell ref="BT35:BT37"/>
    <mergeCell ref="BU35:BX35"/>
    <mergeCell ref="BY35:CB35"/>
    <mergeCell ref="CC23:CC25"/>
    <mergeCell ref="CD23:CD25"/>
    <mergeCell ref="G24:H24"/>
    <mergeCell ref="BU24:BX24"/>
    <mergeCell ref="BY24:CB24"/>
    <mergeCell ref="G25:H25"/>
    <mergeCell ref="BU25:BX25"/>
    <mergeCell ref="BY25:CB25"/>
    <mergeCell ref="B26:B34"/>
    <mergeCell ref="F26:F28"/>
    <mergeCell ref="G26:H26"/>
    <mergeCell ref="BQ26:BQ28"/>
    <mergeCell ref="BR26:BR28"/>
    <mergeCell ref="BS26:BS28"/>
    <mergeCell ref="BT26:BT28"/>
    <mergeCell ref="BU26:BX26"/>
    <mergeCell ref="BY26:CB26"/>
    <mergeCell ref="CC26:CC28"/>
    <mergeCell ref="CD26:CD28"/>
    <mergeCell ref="G27:H27"/>
    <mergeCell ref="BU27:BX27"/>
    <mergeCell ref="BY27:CB27"/>
    <mergeCell ref="G28:H28"/>
    <mergeCell ref="BU28:BX28"/>
    <mergeCell ref="CC17:CC19"/>
    <mergeCell ref="CD17:CD19"/>
    <mergeCell ref="G18:H18"/>
    <mergeCell ref="BU18:BX18"/>
    <mergeCell ref="BY18:CB18"/>
    <mergeCell ref="G19:H19"/>
    <mergeCell ref="BU19:BX19"/>
    <mergeCell ref="BY19:CB19"/>
    <mergeCell ref="D20:D28"/>
    <mergeCell ref="E20:E28"/>
    <mergeCell ref="F20:F22"/>
    <mergeCell ref="G20:H20"/>
    <mergeCell ref="BQ20:BQ22"/>
    <mergeCell ref="BR20:BR22"/>
    <mergeCell ref="BS20:BS22"/>
    <mergeCell ref="BT20:BT22"/>
    <mergeCell ref="BU20:BX20"/>
    <mergeCell ref="BY20:CB20"/>
    <mergeCell ref="CC20:CC22"/>
    <mergeCell ref="CD20:CD22"/>
    <mergeCell ref="G21:H21"/>
    <mergeCell ref="BU21:BX21"/>
    <mergeCell ref="BY21:CB21"/>
    <mergeCell ref="G22:H22"/>
    <mergeCell ref="B16:B24"/>
    <mergeCell ref="G16:H16"/>
    <mergeCell ref="BU16:BX16"/>
    <mergeCell ref="BY16:CB16"/>
    <mergeCell ref="F17:F19"/>
    <mergeCell ref="G17:H17"/>
    <mergeCell ref="BQ17:BQ19"/>
    <mergeCell ref="BR17:BR19"/>
    <mergeCell ref="BS17:BS19"/>
    <mergeCell ref="BT17:BT19"/>
    <mergeCell ref="BU17:BX17"/>
    <mergeCell ref="BY17:CB17"/>
    <mergeCell ref="BU22:BX22"/>
    <mergeCell ref="BY22:CB22"/>
    <mergeCell ref="F23:F25"/>
    <mergeCell ref="G23:H23"/>
    <mergeCell ref="BQ23:BQ25"/>
    <mergeCell ref="BR23:BR25"/>
    <mergeCell ref="BS23:BS25"/>
    <mergeCell ref="BT23:BT25"/>
    <mergeCell ref="BU23:BX23"/>
    <mergeCell ref="BY23:CB23"/>
    <mergeCell ref="CD11:CD13"/>
    <mergeCell ref="G12:H12"/>
    <mergeCell ref="BU12:BX12"/>
    <mergeCell ref="BY12:CB12"/>
    <mergeCell ref="G13:H13"/>
    <mergeCell ref="BU13:BX13"/>
    <mergeCell ref="BY13:CB13"/>
    <mergeCell ref="F14:F16"/>
    <mergeCell ref="G14:H14"/>
    <mergeCell ref="BQ14:BQ16"/>
    <mergeCell ref="BR14:BR16"/>
    <mergeCell ref="BS14:BS16"/>
    <mergeCell ref="BT14:BT16"/>
    <mergeCell ref="BU14:BX14"/>
    <mergeCell ref="BY14:CB14"/>
    <mergeCell ref="CC14:CC16"/>
    <mergeCell ref="CD14:CD16"/>
    <mergeCell ref="G15:H15"/>
    <mergeCell ref="BU15:BX15"/>
    <mergeCell ref="BY15:CB15"/>
    <mergeCell ref="B6:B14"/>
    <mergeCell ref="G6:H6"/>
    <mergeCell ref="BU6:BX6"/>
    <mergeCell ref="BY6:CB6"/>
    <mergeCell ref="G7:H7"/>
    <mergeCell ref="BU7:BX7"/>
    <mergeCell ref="BY7:CB7"/>
    <mergeCell ref="F8:F10"/>
    <mergeCell ref="G8:H8"/>
    <mergeCell ref="BQ8:BQ10"/>
    <mergeCell ref="BR8:BR10"/>
    <mergeCell ref="BS8:BS10"/>
    <mergeCell ref="BT8:BT10"/>
    <mergeCell ref="BU8:BX8"/>
    <mergeCell ref="BY8:CB8"/>
    <mergeCell ref="G9:H9"/>
    <mergeCell ref="BU9:BX9"/>
    <mergeCell ref="BY9:CB9"/>
    <mergeCell ref="G10:H10"/>
    <mergeCell ref="BU10:BX10"/>
    <mergeCell ref="BY10:CB10"/>
    <mergeCell ref="D11:D19"/>
    <mergeCell ref="E11:E19"/>
    <mergeCell ref="F11:F13"/>
    <mergeCell ref="CD3:CD4"/>
    <mergeCell ref="C5:C46"/>
    <mergeCell ref="D5:D10"/>
    <mergeCell ref="E5:E10"/>
    <mergeCell ref="F5:F7"/>
    <mergeCell ref="G5:H5"/>
    <mergeCell ref="BQ5:BQ7"/>
    <mergeCell ref="BR5:BR7"/>
    <mergeCell ref="BS5:BS7"/>
    <mergeCell ref="BT5:BT7"/>
    <mergeCell ref="BU5:BX5"/>
    <mergeCell ref="BY5:CB5"/>
    <mergeCell ref="CC5:CC7"/>
    <mergeCell ref="CD5:CD7"/>
    <mergeCell ref="CC8:CC10"/>
    <mergeCell ref="CD8:CD10"/>
    <mergeCell ref="G11:H11"/>
    <mergeCell ref="BQ11:BQ13"/>
    <mergeCell ref="BR11:BR13"/>
    <mergeCell ref="BS11:BS13"/>
    <mergeCell ref="BT11:BT13"/>
    <mergeCell ref="BU11:BX11"/>
    <mergeCell ref="BY11:CB11"/>
    <mergeCell ref="CC11:CC13"/>
    <mergeCell ref="B1:CD1"/>
    <mergeCell ref="B2:B4"/>
    <mergeCell ref="C2:C4"/>
    <mergeCell ref="D2:D4"/>
    <mergeCell ref="E2:E4"/>
    <mergeCell ref="F2:F4"/>
    <mergeCell ref="G2:H4"/>
    <mergeCell ref="I2:BP2"/>
    <mergeCell ref="BQ2:BR2"/>
    <mergeCell ref="BS2:BT2"/>
    <mergeCell ref="BU2:CB2"/>
    <mergeCell ref="CC2:CD2"/>
    <mergeCell ref="I3:T3"/>
    <mergeCell ref="U3:AF3"/>
    <mergeCell ref="AG3:AR3"/>
    <mergeCell ref="AS3:BD3"/>
    <mergeCell ref="BE3:BP3"/>
    <mergeCell ref="BQ3:BQ4"/>
    <mergeCell ref="BR3:BR4"/>
    <mergeCell ref="BS3:BS4"/>
    <mergeCell ref="BT3:BT4"/>
    <mergeCell ref="BU3:BX4"/>
    <mergeCell ref="BY3:CB4"/>
    <mergeCell ref="CC3:CC4"/>
  </mergeCells>
  <pageMargins left="0.75" right="0.75" top="1" bottom="1" header="0.511811023622047" footer="0.511811023622047"/>
  <pageSetup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FE3B-ECA7-4A47-9EC1-027E39AF03DA}">
  <dimension ref="B2:T19"/>
  <sheetViews>
    <sheetView tabSelected="1" topLeftCell="A9" zoomScale="73" zoomScaleNormal="70" workbookViewId="0">
      <pane xSplit="2" topLeftCell="T1" activePane="topRight" state="frozen"/>
      <selection activeCell="A4" sqref="A4"/>
      <selection pane="topRight" activeCell="T9" sqref="T9"/>
    </sheetView>
    <sheetView workbookViewId="1"/>
  </sheetViews>
  <sheetFormatPr baseColWidth="10" defaultRowHeight="14.6" x14ac:dyDescent="0.4"/>
  <cols>
    <col min="1" max="1" width="5.4609375" customWidth="1"/>
    <col min="2" max="2" width="29.69140625" customWidth="1"/>
    <col min="3" max="3" width="10.69140625" customWidth="1"/>
    <col min="4" max="4" width="9.84375" customWidth="1"/>
    <col min="5" max="5" width="16" customWidth="1"/>
    <col min="6" max="6" width="12.15234375" customWidth="1"/>
    <col min="7" max="8" width="15.3046875" customWidth="1"/>
    <col min="9" max="9" width="13.84375" customWidth="1"/>
    <col min="10" max="11" width="11.4609375" customWidth="1"/>
    <col min="12" max="12" width="11" customWidth="1"/>
    <col min="13" max="13" width="11.3046875" customWidth="1"/>
    <col min="14" max="15" width="10.69140625" customWidth="1"/>
    <col min="16" max="16" width="11.84375" customWidth="1"/>
    <col min="17" max="17" width="11.15234375" customWidth="1"/>
    <col min="18" max="18" width="11.4609375" customWidth="1"/>
    <col min="19" max="19" width="12.4609375" customWidth="1"/>
    <col min="20" max="20" width="73.07421875" customWidth="1"/>
  </cols>
  <sheetData>
    <row r="2" spans="2:20" ht="22.3" x14ac:dyDescent="0.6">
      <c r="B2" s="77" t="s">
        <v>290</v>
      </c>
      <c r="C2" s="77"/>
      <c r="D2" s="77"/>
      <c r="E2" s="77"/>
      <c r="F2" s="77"/>
      <c r="G2" s="77"/>
      <c r="H2" s="77"/>
      <c r="I2" s="77"/>
      <c r="J2" s="77"/>
      <c r="K2" s="77"/>
      <c r="L2" s="77"/>
      <c r="M2" s="77"/>
      <c r="N2" s="77"/>
      <c r="O2" s="77"/>
      <c r="P2" s="77"/>
      <c r="Q2" s="77"/>
      <c r="R2" s="77"/>
      <c r="S2" s="77"/>
      <c r="T2" s="77"/>
    </row>
    <row r="3" spans="2:20" ht="15" thickBot="1" x14ac:dyDescent="0.45"/>
    <row r="4" spans="2:20" ht="17.600000000000001" thickTop="1" thickBot="1" x14ac:dyDescent="0.45">
      <c r="B4" s="78" t="s">
        <v>291</v>
      </c>
      <c r="C4" s="78" t="s">
        <v>292</v>
      </c>
      <c r="D4" s="78" t="s">
        <v>293</v>
      </c>
      <c r="E4" s="78" t="s">
        <v>294</v>
      </c>
      <c r="F4" s="78" t="s">
        <v>295</v>
      </c>
      <c r="G4" s="81" t="s">
        <v>108</v>
      </c>
      <c r="H4" s="81" t="s">
        <v>296</v>
      </c>
      <c r="I4" s="15"/>
      <c r="J4" s="69" t="s">
        <v>111</v>
      </c>
      <c r="K4" s="84"/>
      <c r="L4" s="67" t="s">
        <v>112</v>
      </c>
      <c r="M4" s="68"/>
      <c r="N4" s="67" t="s">
        <v>113</v>
      </c>
      <c r="O4" s="68"/>
      <c r="P4" s="69" t="s">
        <v>297</v>
      </c>
      <c r="Q4" s="70"/>
      <c r="R4" s="67" t="s">
        <v>298</v>
      </c>
      <c r="S4" s="68"/>
      <c r="T4" s="78" t="s">
        <v>299</v>
      </c>
    </row>
    <row r="5" spans="2:20" ht="34.299999999999997" thickTop="1" thickBot="1" x14ac:dyDescent="0.45">
      <c r="B5" s="79"/>
      <c r="C5" s="79"/>
      <c r="D5" s="79"/>
      <c r="E5" s="79"/>
      <c r="F5" s="79"/>
      <c r="G5" s="82"/>
      <c r="H5" s="82"/>
      <c r="I5" s="16" t="s">
        <v>300</v>
      </c>
      <c r="J5" s="85">
        <v>2017</v>
      </c>
      <c r="K5" s="86" t="s">
        <v>301</v>
      </c>
      <c r="L5" s="85">
        <v>2017</v>
      </c>
      <c r="M5" s="86" t="s">
        <v>301</v>
      </c>
      <c r="N5" s="75">
        <v>2017</v>
      </c>
      <c r="O5" s="71" t="s">
        <v>301</v>
      </c>
      <c r="P5" s="73">
        <v>2017</v>
      </c>
      <c r="Q5" s="73" t="s">
        <v>301</v>
      </c>
      <c r="R5" s="75">
        <v>2017</v>
      </c>
      <c r="S5" s="71" t="s">
        <v>301</v>
      </c>
      <c r="T5" s="79"/>
    </row>
    <row r="6" spans="2:20" ht="17.600000000000001" thickTop="1" thickBot="1" x14ac:dyDescent="0.45">
      <c r="B6" s="80"/>
      <c r="C6" s="80"/>
      <c r="D6" s="80"/>
      <c r="E6" s="80"/>
      <c r="F6" s="80"/>
      <c r="G6" s="83"/>
      <c r="H6" s="83"/>
      <c r="I6" s="17"/>
      <c r="J6" s="85"/>
      <c r="K6" s="86"/>
      <c r="L6" s="85"/>
      <c r="M6" s="86"/>
      <c r="N6" s="76"/>
      <c r="O6" s="72"/>
      <c r="P6" s="74"/>
      <c r="Q6" s="74"/>
      <c r="R6" s="76"/>
      <c r="S6" s="72"/>
      <c r="T6" s="80"/>
    </row>
    <row r="7" spans="2:20" ht="20.149999999999999" thickTop="1" thickBot="1" x14ac:dyDescent="0.45">
      <c r="B7" s="18" t="s">
        <v>302</v>
      </c>
      <c r="C7" s="19" t="s">
        <v>303</v>
      </c>
      <c r="D7" s="19" t="s">
        <v>304</v>
      </c>
      <c r="E7" s="19" t="s">
        <v>305</v>
      </c>
      <c r="F7" s="19" t="s">
        <v>306</v>
      </c>
      <c r="G7" s="19" t="s">
        <v>307</v>
      </c>
      <c r="H7" s="19" t="s">
        <v>308</v>
      </c>
      <c r="I7" s="19" t="s">
        <v>309</v>
      </c>
      <c r="J7" s="19" t="s">
        <v>310</v>
      </c>
      <c r="K7" s="19" t="s">
        <v>311</v>
      </c>
      <c r="L7" s="19" t="s">
        <v>312</v>
      </c>
      <c r="M7" s="19" t="s">
        <v>313</v>
      </c>
      <c r="N7" s="19" t="s">
        <v>314</v>
      </c>
      <c r="O7" s="19" t="s">
        <v>315</v>
      </c>
      <c r="P7" s="19" t="s">
        <v>316</v>
      </c>
      <c r="Q7" s="19" t="s">
        <v>317</v>
      </c>
      <c r="R7" s="19" t="s">
        <v>318</v>
      </c>
      <c r="S7" s="19" t="s">
        <v>319</v>
      </c>
      <c r="T7" s="20" t="s">
        <v>320</v>
      </c>
    </row>
    <row r="8" spans="2:20" ht="190.3" thickTop="1" thickBot="1" x14ac:dyDescent="0.45">
      <c r="B8" s="21" t="s">
        <v>328</v>
      </c>
      <c r="C8" s="22">
        <v>1</v>
      </c>
      <c r="D8" s="22">
        <v>1</v>
      </c>
      <c r="E8" s="22">
        <v>0</v>
      </c>
      <c r="F8" s="22">
        <v>1</v>
      </c>
      <c r="G8" s="22">
        <v>1</v>
      </c>
      <c r="H8" s="22">
        <v>1</v>
      </c>
      <c r="I8" s="22">
        <v>1</v>
      </c>
      <c r="J8" s="22">
        <v>1</v>
      </c>
      <c r="K8" s="22">
        <v>1</v>
      </c>
      <c r="L8" s="22">
        <v>1</v>
      </c>
      <c r="M8" s="22">
        <v>1</v>
      </c>
      <c r="N8" s="22">
        <v>1</v>
      </c>
      <c r="O8" s="22">
        <v>1</v>
      </c>
      <c r="P8" s="22">
        <v>1</v>
      </c>
      <c r="Q8" s="22">
        <v>1</v>
      </c>
      <c r="R8" s="22">
        <v>1</v>
      </c>
      <c r="S8" s="22">
        <v>1</v>
      </c>
      <c r="T8" s="30" t="s">
        <v>329</v>
      </c>
    </row>
    <row r="9" spans="2:20" ht="408.9" thickTop="1" thickBot="1" x14ac:dyDescent="0.45">
      <c r="B9" s="21" t="s">
        <v>325</v>
      </c>
      <c r="C9" s="22">
        <v>0</v>
      </c>
      <c r="D9" s="22">
        <v>0</v>
      </c>
      <c r="E9" s="22">
        <v>0</v>
      </c>
      <c r="F9" s="22">
        <v>1</v>
      </c>
      <c r="G9" s="22">
        <v>1</v>
      </c>
      <c r="H9" s="22">
        <v>1</v>
      </c>
      <c r="I9" s="22">
        <v>1</v>
      </c>
      <c r="J9" s="22">
        <v>1</v>
      </c>
      <c r="K9" s="22">
        <v>1</v>
      </c>
      <c r="L9" s="22">
        <v>1</v>
      </c>
      <c r="M9" s="22">
        <v>1</v>
      </c>
      <c r="N9" s="22">
        <v>1</v>
      </c>
      <c r="O9" s="22">
        <v>1</v>
      </c>
      <c r="P9" s="22">
        <v>1</v>
      </c>
      <c r="Q9" s="22">
        <v>1</v>
      </c>
      <c r="R9" s="22">
        <v>1</v>
      </c>
      <c r="S9" s="22">
        <v>1</v>
      </c>
      <c r="T9" s="23" t="s">
        <v>336</v>
      </c>
    </row>
    <row r="10" spans="2:20" ht="146.6" thickTop="1" thickBot="1" x14ac:dyDescent="0.45">
      <c r="B10" s="21" t="s">
        <v>334</v>
      </c>
      <c r="C10" s="22">
        <v>1</v>
      </c>
      <c r="D10" s="22">
        <v>1</v>
      </c>
      <c r="E10" s="22">
        <v>0</v>
      </c>
      <c r="F10" s="22">
        <v>1</v>
      </c>
      <c r="G10" s="22">
        <v>1</v>
      </c>
      <c r="H10" s="22">
        <v>1</v>
      </c>
      <c r="I10" s="22">
        <v>1</v>
      </c>
      <c r="J10" s="22">
        <v>1</v>
      </c>
      <c r="K10" s="22">
        <v>1</v>
      </c>
      <c r="L10" s="22">
        <v>1</v>
      </c>
      <c r="M10" s="22">
        <v>1</v>
      </c>
      <c r="N10" s="22">
        <v>1</v>
      </c>
      <c r="O10" s="22">
        <v>1</v>
      </c>
      <c r="P10" s="22">
        <v>1</v>
      </c>
      <c r="Q10" s="22">
        <v>1</v>
      </c>
      <c r="R10" s="22">
        <v>1</v>
      </c>
      <c r="S10" s="22">
        <v>1</v>
      </c>
      <c r="T10" s="23" t="s">
        <v>335</v>
      </c>
    </row>
    <row r="11" spans="2:20" ht="409.6" thickTop="1" thickBot="1" x14ac:dyDescent="0.45">
      <c r="B11" s="21" t="s">
        <v>326</v>
      </c>
      <c r="C11" s="22">
        <v>1</v>
      </c>
      <c r="D11" s="22">
        <v>1</v>
      </c>
      <c r="E11" s="22">
        <v>1</v>
      </c>
      <c r="F11" s="22">
        <v>1</v>
      </c>
      <c r="G11" s="22">
        <v>1</v>
      </c>
      <c r="H11" s="22">
        <v>1</v>
      </c>
      <c r="I11" s="22">
        <v>1</v>
      </c>
      <c r="J11" s="22">
        <v>1</v>
      </c>
      <c r="K11" s="22">
        <v>1</v>
      </c>
      <c r="L11" s="22">
        <v>1</v>
      </c>
      <c r="M11" s="22">
        <v>1</v>
      </c>
      <c r="N11" s="22">
        <v>1</v>
      </c>
      <c r="O11" s="22">
        <v>1</v>
      </c>
      <c r="P11" s="22">
        <v>1</v>
      </c>
      <c r="Q11" s="22">
        <v>1</v>
      </c>
      <c r="R11" s="22">
        <v>1</v>
      </c>
      <c r="S11" s="22">
        <v>1</v>
      </c>
      <c r="T11" s="23" t="s">
        <v>327</v>
      </c>
    </row>
    <row r="12" spans="2:20" ht="190.3" thickTop="1" thickBot="1" x14ac:dyDescent="0.45">
      <c r="B12" s="24" t="s">
        <v>331</v>
      </c>
      <c r="C12" s="25">
        <v>1</v>
      </c>
      <c r="D12" s="25">
        <v>1</v>
      </c>
      <c r="E12" s="25">
        <v>0</v>
      </c>
      <c r="F12" s="25">
        <v>1</v>
      </c>
      <c r="G12" s="25">
        <v>1</v>
      </c>
      <c r="H12" s="25">
        <v>1</v>
      </c>
      <c r="I12" s="25">
        <v>1</v>
      </c>
      <c r="J12" s="25">
        <v>1</v>
      </c>
      <c r="K12" s="25">
        <v>1</v>
      </c>
      <c r="L12" s="25">
        <v>1</v>
      </c>
      <c r="M12" s="25">
        <v>1</v>
      </c>
      <c r="N12" s="25">
        <v>1</v>
      </c>
      <c r="O12" s="25">
        <v>1</v>
      </c>
      <c r="P12" s="25">
        <v>1</v>
      </c>
      <c r="Q12" s="25">
        <v>1</v>
      </c>
      <c r="R12" s="25">
        <v>1</v>
      </c>
      <c r="S12" s="25">
        <v>1</v>
      </c>
      <c r="T12" s="26" t="s">
        <v>329</v>
      </c>
    </row>
    <row r="13" spans="2:20" ht="409.6" thickTop="1" x14ac:dyDescent="0.4">
      <c r="B13" s="32" t="s">
        <v>332</v>
      </c>
      <c r="C13" s="33">
        <v>0</v>
      </c>
      <c r="D13" s="33">
        <v>1</v>
      </c>
      <c r="E13" s="33">
        <v>0</v>
      </c>
      <c r="F13" s="33">
        <v>1</v>
      </c>
      <c r="G13" s="33">
        <v>1</v>
      </c>
      <c r="H13" s="33">
        <v>1</v>
      </c>
      <c r="I13" s="33">
        <v>1</v>
      </c>
      <c r="J13" s="33">
        <v>1</v>
      </c>
      <c r="K13" s="33">
        <v>1</v>
      </c>
      <c r="L13" s="33">
        <v>1</v>
      </c>
      <c r="M13" s="33">
        <v>1</v>
      </c>
      <c r="N13" s="33">
        <v>1</v>
      </c>
      <c r="O13" s="33">
        <v>1</v>
      </c>
      <c r="P13" s="33">
        <v>1</v>
      </c>
      <c r="Q13" s="33">
        <v>1</v>
      </c>
      <c r="R13" s="33">
        <v>1</v>
      </c>
      <c r="S13" s="33">
        <v>1</v>
      </c>
      <c r="T13" s="34" t="s">
        <v>333</v>
      </c>
    </row>
    <row r="14" spans="2:20" ht="15.45" x14ac:dyDescent="0.4">
      <c r="B14" s="31" t="s">
        <v>330</v>
      </c>
    </row>
    <row r="15" spans="2:20" ht="15" thickBot="1" x14ac:dyDescent="0.45"/>
    <row r="16" spans="2:20" ht="20.149999999999999" thickTop="1" thickBot="1" x14ac:dyDescent="0.45">
      <c r="B16" s="27" t="s">
        <v>321</v>
      </c>
      <c r="C16" s="28">
        <v>1</v>
      </c>
    </row>
    <row r="17" spans="2:3" ht="20.149999999999999" thickTop="1" thickBot="1" x14ac:dyDescent="0.45">
      <c r="B17" s="29" t="s">
        <v>322</v>
      </c>
      <c r="C17" s="22">
        <v>0</v>
      </c>
    </row>
    <row r="18" spans="2:3" ht="20.149999999999999" thickTop="1" thickBot="1" x14ac:dyDescent="0.45">
      <c r="B18" s="27" t="s">
        <v>323</v>
      </c>
      <c r="C18" s="28" t="s">
        <v>324</v>
      </c>
    </row>
    <row r="19" spans="2:3" ht="15" thickTop="1" x14ac:dyDescent="0.4"/>
  </sheetData>
  <mergeCells count="24">
    <mergeCell ref="B2:T2"/>
    <mergeCell ref="B4:B6"/>
    <mergeCell ref="C4:C6"/>
    <mergeCell ref="D4:D6"/>
    <mergeCell ref="E4:E6"/>
    <mergeCell ref="F4:F6"/>
    <mergeCell ref="G4:G6"/>
    <mergeCell ref="H4:H6"/>
    <mergeCell ref="J4:K4"/>
    <mergeCell ref="L4:M4"/>
    <mergeCell ref="T4:T6"/>
    <mergeCell ref="J5:J6"/>
    <mergeCell ref="K5:K6"/>
    <mergeCell ref="L5:L6"/>
    <mergeCell ref="M5:M6"/>
    <mergeCell ref="N5:N6"/>
    <mergeCell ref="N4:O4"/>
    <mergeCell ref="P4:Q4"/>
    <mergeCell ref="R4:S4"/>
    <mergeCell ref="O5:O6"/>
    <mergeCell ref="P5:P6"/>
    <mergeCell ref="Q5:Q6"/>
    <mergeCell ref="R5:R6"/>
    <mergeCell ref="S5:S6"/>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CARTULA</vt:lpstr>
      <vt:lpstr>FODA</vt:lpstr>
      <vt:lpstr>ESTRATEGICA</vt:lpstr>
      <vt:lpstr>OBJETIVOS ESTRTEGICOS</vt:lpstr>
      <vt:lpstr>ESTRATEGICA!Títulos_a_imprimir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VIVOBOOK de Gladys</cp:lastModifiedBy>
  <cp:revision>0</cp:revision>
  <dcterms:created xsi:type="dcterms:W3CDTF">2026-09-17T19:38:46Z</dcterms:created>
  <dcterms:modified xsi:type="dcterms:W3CDTF">2026-09-18T14:03:47Z</dcterms:modified>
  <dc:language>en-US</dc:language>
</cp:coreProperties>
</file>